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СП-02.1 Мебель встроенная и отд" sheetId="2" state="visible" r:id="rId2"/>
    <sheet xmlns:r="http://schemas.openxmlformats.org/officeDocument/2006/relationships" name="СП-02.2 Кухня и бытовая техника" sheetId="3" state="visible" r:id="rId3"/>
    <sheet xmlns:r="http://schemas.openxmlformats.org/officeDocument/2006/relationships" name="СП-03.1 Светильники" sheetId="4" state="visible" r:id="rId4"/>
    <sheet xmlns:r="http://schemas.openxmlformats.org/officeDocument/2006/relationships" name="СП-03.2 Электроустановочные изд" sheetId="5" state="visible" r:id="rId5"/>
    <sheet xmlns:r="http://schemas.openxmlformats.org/officeDocument/2006/relationships" name="СП-03.3 Щит ЭМ-03 и кабельная п" sheetId="6" state="visible" r:id="rId6"/>
    <sheet xmlns:r="http://schemas.openxmlformats.org/officeDocument/2006/relationships" name="СП-04 Сантехника, мебель ванной" sheetId="7" state="visible" r:id="rId7"/>
    <sheet xmlns:r="http://schemas.openxmlformats.org/officeDocument/2006/relationships" name="СП-02.3 Двери и фурнитура" sheetId="8" state="visible" r:id="rId8"/>
    <sheet xmlns:r="http://schemas.openxmlformats.org/officeDocument/2006/relationships" name="СП-05 Отделочные и черновые мат" sheetId="9" state="visible" r:id="rId9"/>
    <sheet xmlns:r="http://schemas.openxmlformats.org/officeDocument/2006/relationships" name="СП-04.2 Тёплые полы (электро) и" sheetId="10" state="visible" r:id="rId10"/>
    <sheet xmlns:r="http://schemas.openxmlformats.org/officeDocument/2006/relationships" name="СП-03.4 Слаботочные сети, умны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&quot; ₽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Сводная спецификация — кв. 108, вариант D1</t>
        </is>
      </c>
    </row>
    <row r="2" ht="75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Шифр</t>
        </is>
      </c>
      <c r="B4" s="3" t="inlineStr">
        <is>
          <t>Спецификация (лист)</t>
        </is>
      </c>
      <c r="C4" s="3" t="inlineStr">
        <is>
          <t>Итого, ₽</t>
        </is>
      </c>
      <c r="D4" s="3" t="inlineStr">
        <is>
          <t>«Ремонт», ₽</t>
        </is>
      </c>
      <c r="E4" s="3" t="inlineStr">
        <is>
          <t>«Мебель+техника», ₽</t>
        </is>
      </c>
    </row>
    <row r="5">
      <c r="A5" t="inlineStr">
        <is>
          <t>СП-02.1</t>
        </is>
      </c>
      <c r="B5" t="inlineStr">
        <is>
          <t>СП-02.1 Мебель встроенная и отд</t>
        </is>
      </c>
      <c r="C5" s="4">
        <f>SUM('СП-02.1 Мебель встроенная и отд'!H5:H29)</f>
        <v/>
      </c>
      <c r="D5" s="4">
        <f>SUMIF('СП-02.1 Мебель встроенная и отд'!K5:K29,"Ремонт",'СП-02.1 Мебель встроенная и отд'!H5:H29)</f>
        <v/>
      </c>
      <c r="E5" s="4">
        <f>SUMIF('СП-02.1 Мебель встроенная и отд'!K5:K29,"Мебель+техника",'СП-02.1 Мебель встроенная и отд'!H5:H29)</f>
        <v/>
      </c>
    </row>
    <row r="6">
      <c r="A6" t="inlineStr">
        <is>
          <t>СП-02.2</t>
        </is>
      </c>
      <c r="B6" t="inlineStr">
        <is>
          <t>СП-02.2 Кухня и бытовая техника</t>
        </is>
      </c>
      <c r="C6" s="4">
        <f>SUM('СП-02.2 Кухня и бытовая техника'!H5:H28)</f>
        <v/>
      </c>
      <c r="D6" s="4">
        <f>SUMIF('СП-02.2 Кухня и бытовая техника'!K5:K28,"Ремонт",'СП-02.2 Кухня и бытовая техника'!H5:H28)</f>
        <v/>
      </c>
      <c r="E6" s="4">
        <f>SUMIF('СП-02.2 Кухня и бытовая техника'!K5:K28,"Мебель+техника",'СП-02.2 Кухня и бытовая техника'!H5:H28)</f>
        <v/>
      </c>
    </row>
    <row r="7">
      <c r="A7" t="inlineStr">
        <is>
          <t>СП-03.1</t>
        </is>
      </c>
      <c r="B7" t="inlineStr">
        <is>
          <t>СП-03.1 Светильники</t>
        </is>
      </c>
      <c r="C7" s="4">
        <f>SUM('СП-03.1 Светильники'!H5:H50)</f>
        <v/>
      </c>
      <c r="D7" s="4">
        <f>SUMIF('СП-03.1 Светильники'!K5:K50,"Ремонт",'СП-03.1 Светильники'!H5:H50)</f>
        <v/>
      </c>
      <c r="E7" s="4">
        <f>SUMIF('СП-03.1 Светильники'!K5:K50,"Мебель+техника",'СП-03.1 Светильники'!H5:H50)</f>
        <v/>
      </c>
    </row>
    <row r="8">
      <c r="A8" t="inlineStr">
        <is>
          <t>СП-03.2</t>
        </is>
      </c>
      <c r="B8" t="inlineStr">
        <is>
          <t>СП-03.2 Электроустановочные изд</t>
        </is>
      </c>
      <c r="C8" s="4">
        <f>SUM('СП-03.2 Электроустановочные изд'!H5:H18)</f>
        <v/>
      </c>
      <c r="D8" s="4">
        <f>SUMIF('СП-03.2 Электроустановочные изд'!K5:K18,"Ремонт",'СП-03.2 Электроустановочные изд'!H5:H18)</f>
        <v/>
      </c>
      <c r="E8" s="4">
        <f>SUMIF('СП-03.2 Электроустановочные изд'!K5:K18,"Мебель+техника",'СП-03.2 Электроустановочные изд'!H5:H18)</f>
        <v/>
      </c>
    </row>
    <row r="9">
      <c r="A9" t="inlineStr">
        <is>
          <t>СП-03.3</t>
        </is>
      </c>
      <c r="B9" t="inlineStr">
        <is>
          <t>СП-03.3 Щит ЭМ-03 и кабельная п</t>
        </is>
      </c>
      <c r="C9" s="4">
        <f>SUM('СП-03.3 Щит ЭМ-03 и кабельная п'!H5:H22)</f>
        <v/>
      </c>
      <c r="D9" s="4">
        <f>SUMIF('СП-03.3 Щит ЭМ-03 и кабельная п'!K5:K22,"Ремонт",'СП-03.3 Щит ЭМ-03 и кабельная п'!H5:H22)</f>
        <v/>
      </c>
      <c r="E9" s="4">
        <f>SUMIF('СП-03.3 Щит ЭМ-03 и кабельная п'!K5:K22,"Мебель+техника",'СП-03.3 Щит ЭМ-03 и кабельная п'!H5:H22)</f>
        <v/>
      </c>
    </row>
    <row r="10">
      <c r="A10" t="inlineStr">
        <is>
          <t>СП-04</t>
        </is>
      </c>
      <c r="B10" t="inlineStr">
        <is>
          <t>СП-04 Сантехника, мебель ванной</t>
        </is>
      </c>
      <c r="C10" s="4">
        <f>SUM('СП-04 Сантехника, мебель ванной'!H5:H44)</f>
        <v/>
      </c>
      <c r="D10" s="4">
        <f>SUMIF('СП-04 Сантехника, мебель ванной'!K5:K44,"Ремонт",'СП-04 Сантехника, мебель ванной'!H5:H44)</f>
        <v/>
      </c>
      <c r="E10" s="4">
        <f>SUMIF('СП-04 Сантехника, мебель ванной'!K5:K44,"Мебель+техника",'СП-04 Сантехника, мебель ванной'!H5:H44)</f>
        <v/>
      </c>
    </row>
    <row r="11">
      <c r="A11" t="inlineStr">
        <is>
          <t>СП-02.3</t>
        </is>
      </c>
      <c r="B11" t="inlineStr">
        <is>
          <t>СП-02.3 Двери и фурнитура</t>
        </is>
      </c>
      <c r="C11" s="4">
        <f>SUM('СП-02.3 Двери и фурнитура'!H5:H31)</f>
        <v/>
      </c>
      <c r="D11" s="4">
        <f>SUMIF('СП-02.3 Двери и фурнитура'!K5:K31,"Ремонт",'СП-02.3 Двери и фурнитура'!H5:H31)</f>
        <v/>
      </c>
      <c r="E11" s="4">
        <f>SUMIF('СП-02.3 Двери и фурнитура'!K5:K31,"Мебель+техника",'СП-02.3 Двери и фурнитура'!H5:H31)</f>
        <v/>
      </c>
    </row>
    <row r="12">
      <c r="A12" t="inlineStr">
        <is>
          <t>СП-05</t>
        </is>
      </c>
      <c r="B12" t="inlineStr">
        <is>
          <t>СП-05 Отделочные и черновые мат</t>
        </is>
      </c>
      <c r="C12" s="4">
        <f>SUM('СП-05 Отделочные и черновые мат'!H5:H86)</f>
        <v/>
      </c>
      <c r="D12" s="4">
        <f>SUMIF('СП-05 Отделочные и черновые мат'!K5:K86,"Ремонт",'СП-05 Отделочные и черновые мат'!H5:H86)</f>
        <v/>
      </c>
      <c r="E12" s="4">
        <f>SUMIF('СП-05 Отделочные и черновые мат'!K5:K86,"Мебель+техника",'СП-05 Отделочные и черновые мат'!H5:H86)</f>
        <v/>
      </c>
    </row>
    <row r="13">
      <c r="A13" t="inlineStr">
        <is>
          <t>СП-04.2</t>
        </is>
      </c>
      <c r="B13" t="inlineStr">
        <is>
          <t>СП-04.2 Тёплые полы (электро) и</t>
        </is>
      </c>
      <c r="C13" s="4">
        <f>SUM('СП-04.2 Тёплые полы (электро) и'!H5:H22)</f>
        <v/>
      </c>
      <c r="D13" s="4">
        <f>SUMIF('СП-04.2 Тёплые полы (электро) и'!K5:K22,"Ремонт",'СП-04.2 Тёплые полы (электро) и'!H5:H22)</f>
        <v/>
      </c>
      <c r="E13" s="4">
        <f>SUMIF('СП-04.2 Тёплые полы (электро) и'!K5:K22,"Мебель+техника",'СП-04.2 Тёплые полы (электро) и'!H5:H22)</f>
        <v/>
      </c>
    </row>
    <row r="14">
      <c r="A14" t="inlineStr">
        <is>
          <t>СП-03.4</t>
        </is>
      </c>
      <c r="B14" t="inlineStr">
        <is>
          <t>СП-03.4 Слаботочные сети, умный</t>
        </is>
      </c>
      <c r="C14" s="4">
        <f>SUM('СП-03.4 Слаботочные сети, умный'!H5:H35)</f>
        <v/>
      </c>
      <c r="D14" s="4">
        <f>SUMIF('СП-03.4 Слаботочные сети, умный'!K5:K35,"Ремонт",'СП-03.4 Слаботочные сети, умный'!H5:H35)</f>
        <v/>
      </c>
      <c r="E14" s="4">
        <f>SUMIF('СП-03.4 Слаботочные сети, умный'!K5:K35,"Мебель+техника",'СП-03.4 Слаботочные сети, умный'!H5:H35)</f>
        <v/>
      </c>
    </row>
    <row r="15">
      <c r="B15" s="5" t="inlineStr">
        <is>
          <t>ИТОГО по спецификациям</t>
        </is>
      </c>
      <c r="C15" s="6">
        <f>SUM(C5:C14)</f>
        <v/>
      </c>
      <c r="D15" s="6">
        <f>SUM(D5:D14)</f>
        <v/>
      </c>
      <c r="E15" s="6">
        <f>SUM(E5:E14)</f>
        <v/>
      </c>
    </row>
    <row r="17">
      <c r="B17" t="inlineStr">
        <is>
          <t>Работы — в 05-estimate/estimate.xlsx; спецификации содержат только изделия и материалы.</t>
        </is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СП-02.1. Мебель встроенная и отдельностоящая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Буазери стены-изголовья W2 2,9×2,7 м: МДФ 16–19, рамки 25–40, центральная филёнка 1860×1600 съёмная, эмаль C3</t>
        </is>
      </c>
      <c r="C5" s="7" t="inlineStr">
        <is>
          <t>по эскизу moodboard.html, схема 1</t>
        </is>
      </c>
      <c r="D5" s="7" t="inlineStr">
        <is>
          <t>мебельный/столярный цех СПб</t>
        </is>
      </c>
      <c r="E5" s="8" t="n">
        <v>1</v>
      </c>
      <c r="F5" s="7" t="inlineStr">
        <is>
          <t>компл</t>
        </is>
      </c>
      <c r="G5" s="9" t="n">
        <v>95000</v>
      </c>
      <c r="H5" s="9">
        <f>E5*G5</f>
        <v/>
      </c>
      <c r="I5" s="7" t="inlineStr">
        <is>
          <t>R1</t>
        </is>
      </c>
      <c r="J5" s="7" t="inlineStr">
        <is>
          <t>F41; АР-15; M06; узел 8</t>
        </is>
      </c>
      <c r="K5" s="7" t="inlineStr">
        <is>
          <t>Ремонт</t>
        </is>
      </c>
      <c r="L5" s="7" t="inlineStr">
        <is>
          <t>Э10</t>
        </is>
      </c>
      <c r="M5" s="7" t="inlineStr">
        <is>
          <t>под ключ с окраской; зашивка O1 — в работах/СП-05</t>
        </is>
      </c>
    </row>
    <row r="6">
      <c r="A6" s="7" t="n">
        <v>2</v>
      </c>
      <c r="B6" s="7" t="inlineStr">
        <is>
          <t>Шкаф-купе Г 2480+745×600 до потолка: корпус ЛДСП E1, двери — рамочный профиль + вставки МДФ эмаль C3 с накладной филёнкой, верхний подвес</t>
        </is>
      </c>
      <c r="C6" s="7" t="inlineStr">
        <is>
          <t>Aristo/Командор, корпус Egger</t>
        </is>
      </c>
      <c r="D6" s="7" t="inlineStr">
        <is>
          <t>мебельный цех СПб</t>
        </is>
      </c>
      <c r="E6" s="8" t="n">
        <v>1</v>
      </c>
      <c r="F6" s="7" t="inlineStr">
        <is>
          <t>компл</t>
        </is>
      </c>
      <c r="G6" s="9" t="n">
        <v>215000</v>
      </c>
      <c r="H6" s="9">
        <f>E6*G6</f>
        <v/>
      </c>
      <c r="I6" s="7" t="inlineStr">
        <is>
          <t>R1</t>
        </is>
      </c>
      <c r="J6" s="7" t="inlineStr">
        <is>
          <t>F45, F46; M07</t>
        </is>
      </c>
      <c r="K6" s="7" t="inlineStr">
        <is>
          <t>Ремонт</t>
        </is>
      </c>
      <c r="L6" s="7" t="inlineStr">
        <is>
          <t>Э13</t>
        </is>
      </c>
      <c r="M6" s="7" t="inlineStr">
        <is>
          <t>под ключ; подсветка L13 — СП-03.1</t>
        </is>
      </c>
    </row>
    <row r="7">
      <c r="A7" s="7" t="n">
        <v>3</v>
      </c>
      <c r="B7" s="7" t="inlineStr">
        <is>
          <t>Шкаф прихожей 2720×600×2650: 3 секции по 900, 6 распашных фасадов МДФ эмаль C2 с рамкой-филёнкой, дверь-зеркало, ниша робота</t>
        </is>
      </c>
      <c r="C7" s="7" t="inlineStr">
        <is>
          <t>по эскизу moodboard.html, схема 2</t>
        </is>
      </c>
      <c r="D7" s="7" t="inlineStr">
        <is>
          <t>мебельный цех СПб, фурнитура Blum/Hettich</t>
        </is>
      </c>
      <c r="E7" s="8" t="n">
        <v>1</v>
      </c>
      <c r="F7" s="7" t="inlineStr">
        <is>
          <t>компл</t>
        </is>
      </c>
      <c r="G7" s="9" t="n">
        <v>195000</v>
      </c>
      <c r="H7" s="9">
        <f>E7*G7</f>
        <v/>
      </c>
      <c r="I7" s="7" t="inlineStr">
        <is>
          <t>R4</t>
        </is>
      </c>
      <c r="J7" s="7" t="inlineStr">
        <is>
          <t>F60, F61, F62; M17; АР-12</t>
        </is>
      </c>
      <c r="K7" s="7" t="inlineStr">
        <is>
          <t>Ремонт</t>
        </is>
      </c>
      <c r="L7" s="7" t="inlineStr">
        <is>
          <t>Э13</t>
        </is>
      </c>
      <c r="M7" s="7" t="inlineStr">
        <is>
          <t>под ключ; h 2650 (D19)</t>
        </is>
      </c>
    </row>
    <row r="8">
      <c r="A8" s="7" t="n">
        <v>4</v>
      </c>
      <c r="B8" s="7" t="inlineStr">
        <is>
          <t>Системы хранения постирочной: тумба хозмойки 450, карго 300, столешница компакт-плита 12 мм 770×600, навесные 350, пенал 540, антресоль 650, шкафы 350 у W10 (фасады от пола без дна над U11)</t>
        </is>
      </c>
      <c r="C8" s="7" t="inlineStr">
        <is>
          <t>Egger U702 ST9 «Кашемир серый», кромка ПВХ 2</t>
        </is>
      </c>
      <c r="D8" s="7" t="inlineStr">
        <is>
          <t>мебельный цех СПб</t>
        </is>
      </c>
      <c r="E8" s="8" t="n">
        <v>1</v>
      </c>
      <c r="F8" s="7" t="inlineStr">
        <is>
          <t>компл</t>
        </is>
      </c>
      <c r="G8" s="9" t="n">
        <v>115000</v>
      </c>
      <c r="H8" s="9">
        <f>E8*G8</f>
        <v/>
      </c>
      <c r="I8" s="7" t="inlineStr">
        <is>
          <t>R6</t>
        </is>
      </c>
      <c r="J8" s="7" t="inlineStr">
        <is>
          <t>F78, F79, F83, F84, F85, F86, F87, F88; M26; АР-14</t>
        </is>
      </c>
      <c r="K8" s="7" t="inlineStr">
        <is>
          <t>Ремонт</t>
        </is>
      </c>
      <c r="L8" s="7" t="inlineStr">
        <is>
          <t>Э13</t>
        </is>
      </c>
      <c r="M8" s="7" t="inlineStr">
        <is>
          <t>под ключ</t>
        </is>
      </c>
    </row>
    <row r="9">
      <c r="A9" s="7" t="n">
        <v>5</v>
      </c>
      <c r="B9" s="7" t="inlineStr">
        <is>
          <t>Сушилка потолочная «лиана» 4 прутка</t>
        </is>
      </c>
      <c r="C9" s="7" t="inlineStr">
        <is>
          <t>ручная, 4 прутка</t>
        </is>
      </c>
      <c r="D9" s="7" t="inlineStr">
        <is>
          <t>Гимли/Лиана-класс</t>
        </is>
      </c>
      <c r="E9" s="8" t="n">
        <v>1</v>
      </c>
      <c r="F9" s="7" t="inlineStr">
        <is>
          <t>шт</t>
        </is>
      </c>
      <c r="G9" s="9" t="n">
        <v>4500</v>
      </c>
      <c r="H9" s="9">
        <f>E9*G9</f>
        <v/>
      </c>
      <c r="I9" s="7" t="inlineStr">
        <is>
          <t>R6</t>
        </is>
      </c>
      <c r="J9" s="7" t="inlineStr">
        <is>
          <t>F89</t>
        </is>
      </c>
      <c r="K9" s="7" t="inlineStr">
        <is>
          <t>Ремонт</t>
        </is>
      </c>
      <c r="L9" s="7" t="inlineStr">
        <is>
          <t>Э13</t>
        </is>
      </c>
      <c r="M9" s="7" t="inlineStr"/>
    </row>
    <row r="10">
      <c r="A10" s="7" t="n">
        <v>6</v>
      </c>
      <c r="B10" s="7" t="inlineStr">
        <is>
          <t>Стол обеденный 1800×900 (шпон дуба/массив)</t>
        </is>
      </c>
      <c r="C10" s="7" t="inlineStr">
        <is>
          <t>M15</t>
        </is>
      </c>
      <c r="D10" s="7" t="inlineStr">
        <is>
          <t>Stool Group / Woodville / Ellipsefurniture</t>
        </is>
      </c>
      <c r="E10" s="8" t="n">
        <v>1</v>
      </c>
      <c r="F10" s="7" t="inlineStr">
        <is>
          <t>шт</t>
        </is>
      </c>
      <c r="G10" s="9" t="n">
        <v>50000</v>
      </c>
      <c r="H10" s="9">
        <f>E10*G10</f>
        <v/>
      </c>
      <c r="I10" s="7" t="inlineStr">
        <is>
          <t>R3</t>
        </is>
      </c>
      <c r="J10" s="7" t="inlineStr">
        <is>
          <t>F25</t>
        </is>
      </c>
      <c r="K10" s="7" t="inlineStr">
        <is>
          <t>Мебель+техника</t>
        </is>
      </c>
      <c r="L10" s="7" t="inlineStr">
        <is>
          <t>—</t>
        </is>
      </c>
      <c r="M10" s="7" t="inlineStr"/>
    </row>
    <row r="11">
      <c r="A11" s="7" t="n">
        <v>7</v>
      </c>
      <c r="B11" s="7" t="inlineStr">
        <is>
          <t>Стул мягкий (рогожка/велюр, каркас бук)</t>
        </is>
      </c>
      <c r="C11" s="7" t="inlineStr">
        <is>
          <t>M15</t>
        </is>
      </c>
      <c r="D11" s="7" t="inlineStr">
        <is>
          <t>Stool Group / Woodville</t>
        </is>
      </c>
      <c r="E11" s="8" t="n">
        <v>6</v>
      </c>
      <c r="F11" s="7" t="inlineStr">
        <is>
          <t>шт</t>
        </is>
      </c>
      <c r="G11" s="9" t="n">
        <v>11000</v>
      </c>
      <c r="H11" s="9">
        <f>E11*G11</f>
        <v/>
      </c>
      <c r="I11" s="7" t="inlineStr">
        <is>
          <t>R3</t>
        </is>
      </c>
      <c r="J11" s="7" t="inlineStr">
        <is>
          <t>F26, F27, F28, F29, F30, F31</t>
        </is>
      </c>
      <c r="K11" s="7" t="inlineStr">
        <is>
          <t>Мебель+техника</t>
        </is>
      </c>
      <c r="L11" s="7" t="inlineStr">
        <is>
          <t>—</t>
        </is>
      </c>
      <c r="M11" s="7" t="inlineStr"/>
    </row>
    <row r="12">
      <c r="A12" s="7" t="n">
        <v>8</v>
      </c>
      <c r="B12" s="7" t="inlineStr">
        <is>
          <t>П-диван по размеру: спинная секция 3023×750 + 2 боковые 650×700 (отсек AV), съёмные чехлы, на ножках</t>
        </is>
      </c>
      <c r="C12" s="7" t="inlineStr">
        <is>
          <t>M31</t>
        </is>
      </c>
      <c r="D12" s="7" t="inlineStr">
        <is>
          <t>мастерская СПб по размеру / модульный</t>
        </is>
      </c>
      <c r="E12" s="8" t="n">
        <v>1</v>
      </c>
      <c r="F12" s="7" t="inlineStr">
        <is>
          <t>компл</t>
        </is>
      </c>
      <c r="G12" s="9" t="n">
        <v>155000</v>
      </c>
      <c r="H12" s="9">
        <f>E12*G12</f>
        <v/>
      </c>
      <c r="I12" s="7" t="inlineStr">
        <is>
          <t>R7</t>
        </is>
      </c>
      <c r="J12" s="7" t="inlineStr">
        <is>
          <t>F33, F34, F35</t>
        </is>
      </c>
      <c r="K12" s="7" t="inlineStr">
        <is>
          <t>Мебель+техника</t>
        </is>
      </c>
      <c r="L12" s="7" t="inlineStr">
        <is>
          <t>—</t>
        </is>
      </c>
      <c r="M12" s="7" t="inlineStr">
        <is>
          <t>встроенные блоки розеток P-B03a/P-B04a/b — поставка с диваном</t>
        </is>
      </c>
    </row>
    <row r="13">
      <c r="A13" s="7" t="n">
        <v>9</v>
      </c>
      <c r="B13" s="7" t="inlineStr">
        <is>
          <t>Пуф-стол 500×800</t>
        </is>
      </c>
      <c r="C13" s="7" t="inlineStr">
        <is>
          <t>M31</t>
        </is>
      </c>
      <c r="D13" s="7" t="inlineStr">
        <is>
          <t>мастерская (с диваном)</t>
        </is>
      </c>
      <c r="E13" s="8" t="n">
        <v>1</v>
      </c>
      <c r="F13" s="7" t="inlineStr">
        <is>
          <t>шт</t>
        </is>
      </c>
      <c r="G13" s="9" t="n">
        <v>18000</v>
      </c>
      <c r="H13" s="9">
        <f>E13*G13</f>
        <v/>
      </c>
      <c r="I13" s="7" t="inlineStr">
        <is>
          <t>R7</t>
        </is>
      </c>
      <c r="J13" s="7" t="inlineStr">
        <is>
          <t>F36</t>
        </is>
      </c>
      <c r="K13" s="7" t="inlineStr">
        <is>
          <t>Мебель+техника</t>
        </is>
      </c>
      <c r="L13" s="7" t="inlineStr">
        <is>
          <t>—</t>
        </is>
      </c>
      <c r="M13" s="7" t="inlineStr"/>
    </row>
    <row r="14">
      <c r="A14" s="7" t="n">
        <v>10</v>
      </c>
      <c r="B14" s="7" t="inlineStr">
        <is>
          <t>Кровать 1800×2000 с мягким изголовьем, рама на глайдерах</t>
        </is>
      </c>
      <c r="C14" s="7" t="inlineStr">
        <is>
          <t>M09</t>
        </is>
      </c>
      <c r="D14" s="7" t="inlineStr">
        <is>
          <t>Askona / Ormatek / Dreamline</t>
        </is>
      </c>
      <c r="E14" s="8" t="n">
        <v>1</v>
      </c>
      <c r="F14" s="7" t="inlineStr">
        <is>
          <t>шт</t>
        </is>
      </c>
      <c r="G14" s="9" t="n">
        <v>75000</v>
      </c>
      <c r="H14" s="9">
        <f>E14*G14</f>
        <v/>
      </c>
      <c r="I14" s="7" t="inlineStr">
        <is>
          <t>R1</t>
        </is>
      </c>
      <c r="J14" s="7" t="inlineStr">
        <is>
          <t>F42</t>
        </is>
      </c>
      <c r="K14" s="7" t="inlineStr">
        <is>
          <t>Мебель+техника</t>
        </is>
      </c>
      <c r="L14" s="7" t="inlineStr">
        <is>
          <t>—</t>
        </is>
      </c>
      <c r="M14" s="7" t="inlineStr"/>
    </row>
    <row r="15">
      <c r="A15" s="7" t="n">
        <v>11</v>
      </c>
      <c r="B15" s="7" t="inlineStr">
        <is>
          <t>Матрас 1800×2000 средней жёсткости</t>
        </is>
      </c>
      <c r="C15" s="7" t="inlineStr">
        <is>
          <t>M09</t>
        </is>
      </c>
      <c r="D15" s="7" t="inlineStr">
        <is>
          <t>Askona / Ormatek</t>
        </is>
      </c>
      <c r="E15" s="8" t="n">
        <v>1</v>
      </c>
      <c r="F15" s="7" t="inlineStr">
        <is>
          <t>шт</t>
        </is>
      </c>
      <c r="G15" s="9" t="n">
        <v>40000</v>
      </c>
      <c r="H15" s="9">
        <f>E15*G15</f>
        <v/>
      </c>
      <c r="I15" s="7" t="inlineStr">
        <is>
          <t>R1</t>
        </is>
      </c>
      <c r="J15" s="7" t="inlineStr">
        <is>
          <t>F42</t>
        </is>
      </c>
      <c r="K15" s="7" t="inlineStr">
        <is>
          <t>Мебель+техника</t>
        </is>
      </c>
      <c r="L15" s="7" t="inlineStr">
        <is>
          <t>—</t>
        </is>
      </c>
      <c r="M15" s="7" t="inlineStr"/>
    </row>
    <row r="16">
      <c r="A16" s="7" t="n">
        <v>12</v>
      </c>
      <c r="B16" s="7" t="inlineStr">
        <is>
          <t>Тумба прикроватная подвесная 450×500</t>
        </is>
      </c>
      <c r="C16" s="7" t="inlineStr">
        <is>
          <t>M08</t>
        </is>
      </c>
      <c r="D16" s="7" t="inlineStr">
        <is>
          <t>мебельный цех (с консолью)</t>
        </is>
      </c>
      <c r="E16" s="8" t="n">
        <v>2</v>
      </c>
      <c r="F16" s="7" t="inlineStr">
        <is>
          <t>шт</t>
        </is>
      </c>
      <c r="G16" s="9" t="n">
        <v>9000</v>
      </c>
      <c r="H16" s="9">
        <f>E16*G16</f>
        <v/>
      </c>
      <c r="I16" s="7" t="inlineStr">
        <is>
          <t>R1</t>
        </is>
      </c>
      <c r="J16" s="7" t="inlineStr">
        <is>
          <t>F43, F44</t>
        </is>
      </c>
      <c r="K16" s="7" t="inlineStr">
        <is>
          <t>Мебель+техника</t>
        </is>
      </c>
      <c r="L16" s="7" t="inlineStr">
        <is>
          <t>—</t>
        </is>
      </c>
      <c r="M16" s="7" t="inlineStr"/>
    </row>
    <row r="17">
      <c r="A17" s="7" t="n">
        <v>13</v>
      </c>
      <c r="B17" s="7" t="inlineStr">
        <is>
          <t>ТВ-консоль подвесная 1600×300 МДФ эмаль, низ +250</t>
        </is>
      </c>
      <c r="C17" s="7" t="inlineStr">
        <is>
          <t>M08</t>
        </is>
      </c>
      <c r="D17" s="7" t="inlineStr">
        <is>
          <t>мебельный цех</t>
        </is>
      </c>
      <c r="E17" s="8" t="n">
        <v>1</v>
      </c>
      <c r="F17" s="7" t="inlineStr">
        <is>
          <t>шт</t>
        </is>
      </c>
      <c r="G17" s="9" t="n">
        <v>32000</v>
      </c>
      <c r="H17" s="9">
        <f>E17*G17</f>
        <v/>
      </c>
      <c r="I17" s="7" t="inlineStr">
        <is>
          <t>R1</t>
        </is>
      </c>
      <c r="J17" s="7" t="inlineStr">
        <is>
          <t>F47</t>
        </is>
      </c>
      <c r="K17" s="7" t="inlineStr">
        <is>
          <t>Мебель+техника</t>
        </is>
      </c>
      <c r="L17" s="7" t="inlineStr">
        <is>
          <t>—</t>
        </is>
      </c>
      <c r="M17" s="7" t="inlineStr"/>
    </row>
    <row r="18">
      <c r="A18" s="7" t="n">
        <v>14</v>
      </c>
      <c r="B18" s="7" t="inlineStr">
        <is>
          <t>Стол рабочий 1400×600, столешница дуб, консоль/подстолье к стене</t>
        </is>
      </c>
      <c r="C18" s="7" t="inlineStr">
        <is>
          <t>M08</t>
        </is>
      </c>
      <c r="D18" s="7" t="inlineStr">
        <is>
          <t>мебельный цех / Woodville</t>
        </is>
      </c>
      <c r="E18" s="8" t="n">
        <v>1</v>
      </c>
      <c r="F18" s="7" t="inlineStr">
        <is>
          <t>шт</t>
        </is>
      </c>
      <c r="G18" s="9" t="n">
        <v>35000</v>
      </c>
      <c r="H18" s="9">
        <f>E18*G18</f>
        <v/>
      </c>
      <c r="I18" s="7" t="inlineStr">
        <is>
          <t>R1</t>
        </is>
      </c>
      <c r="J18" s="7" t="inlineStr">
        <is>
          <t>F49</t>
        </is>
      </c>
      <c r="K18" s="7" t="inlineStr">
        <is>
          <t>Мебель+техника</t>
        </is>
      </c>
      <c r="L18" s="7" t="inlineStr">
        <is>
          <t>—</t>
        </is>
      </c>
      <c r="M18" s="7" t="inlineStr"/>
    </row>
    <row r="19">
      <c r="A19" s="7" t="n">
        <v>15</v>
      </c>
      <c r="B19" s="7" t="inlineStr">
        <is>
          <t>Кресло рабочее эргономичное</t>
        </is>
      </c>
      <c r="C19" s="7" t="inlineStr">
        <is>
          <t>—</t>
        </is>
      </c>
      <c r="D19" s="7" t="inlineStr">
        <is>
          <t>Chairman / Бюрократ (средний)</t>
        </is>
      </c>
      <c r="E19" s="8" t="n">
        <v>1</v>
      </c>
      <c r="F19" s="7" t="inlineStr">
        <is>
          <t>шт</t>
        </is>
      </c>
      <c r="G19" s="9" t="n">
        <v>18000</v>
      </c>
      <c r="H19" s="9">
        <f>E19*G19</f>
        <v/>
      </c>
      <c r="I19" s="7" t="inlineStr">
        <is>
          <t>R1</t>
        </is>
      </c>
      <c r="J19" s="7" t="inlineStr">
        <is>
          <t>F50</t>
        </is>
      </c>
      <c r="K19" s="7" t="inlineStr">
        <is>
          <t>Мебель+техника</t>
        </is>
      </c>
      <c r="L19" s="7" t="inlineStr">
        <is>
          <t>—</t>
        </is>
      </c>
      <c r="M19" s="7" t="inlineStr"/>
    </row>
    <row r="20">
      <c r="A20" s="7" t="n">
        <v>16</v>
      </c>
      <c r="B20" s="7" t="inlineStr">
        <is>
          <t>Шкаф детский 1800×600×2400, 2 секции, распашной, крепление к стене</t>
        </is>
      </c>
      <c r="C20" s="7" t="inlineStr">
        <is>
          <t>M11</t>
        </is>
      </c>
      <c r="D20" s="7" t="inlineStr">
        <is>
          <t>местный цех / Ellipsefurniture</t>
        </is>
      </c>
      <c r="E20" s="8" t="n">
        <v>1</v>
      </c>
      <c r="F20" s="7" t="inlineStr">
        <is>
          <t>шт</t>
        </is>
      </c>
      <c r="G20" s="9" t="n">
        <v>38000</v>
      </c>
      <c r="H20" s="9">
        <f>E20*G20</f>
        <v/>
      </c>
      <c r="I20" s="7" t="inlineStr">
        <is>
          <t>R2</t>
        </is>
      </c>
      <c r="J20" s="7" t="inlineStr">
        <is>
          <t>F52</t>
        </is>
      </c>
      <c r="K20" s="7" t="inlineStr">
        <is>
          <t>Мебель+техника</t>
        </is>
      </c>
      <c r="L20" s="7" t="inlineStr">
        <is>
          <t>—</t>
        </is>
      </c>
      <c r="M20" s="7" t="inlineStr"/>
    </row>
    <row r="21">
      <c r="A21" s="7" t="n">
        <v>17</v>
      </c>
      <c r="B21" s="7" t="inlineStr">
        <is>
          <t>Кровать детская 900×2000 с ящиками для игрушек</t>
        </is>
      </c>
      <c r="C21" s="7" t="inlineStr">
        <is>
          <t>M11</t>
        </is>
      </c>
      <c r="D21" s="7" t="inlineStr">
        <is>
          <t>Ellipsefurniture / местный цех</t>
        </is>
      </c>
      <c r="E21" s="8" t="n">
        <v>1</v>
      </c>
      <c r="F21" s="7" t="inlineStr">
        <is>
          <t>шт</t>
        </is>
      </c>
      <c r="G21" s="9" t="n">
        <v>28000</v>
      </c>
      <c r="H21" s="9">
        <f>E21*G21</f>
        <v/>
      </c>
      <c r="I21" s="7" t="inlineStr">
        <is>
          <t>R2</t>
        </is>
      </c>
      <c r="J21" s="7" t="inlineStr">
        <is>
          <t>F53</t>
        </is>
      </c>
      <c r="K21" s="7" t="inlineStr">
        <is>
          <t>Мебель+техника</t>
        </is>
      </c>
      <c r="L21" s="7" t="inlineStr">
        <is>
          <t>—</t>
        </is>
      </c>
      <c r="M21" s="7" t="inlineStr"/>
    </row>
    <row r="22">
      <c r="A22" s="7" t="n">
        <v>18</v>
      </c>
      <c r="B22" s="7" t="inlineStr">
        <is>
          <t>Матрас 900×2000 детский</t>
        </is>
      </c>
      <c r="C22" s="7" t="inlineStr">
        <is>
          <t>M11</t>
        </is>
      </c>
      <c r="D22" s="7" t="inlineStr">
        <is>
          <t>Askona / Ormatek</t>
        </is>
      </c>
      <c r="E22" s="8" t="n">
        <v>1</v>
      </c>
      <c r="F22" s="7" t="inlineStr">
        <is>
          <t>шт</t>
        </is>
      </c>
      <c r="G22" s="9" t="n">
        <v>12000</v>
      </c>
      <c r="H22" s="9">
        <f>E22*G22</f>
        <v/>
      </c>
      <c r="I22" s="7" t="inlineStr">
        <is>
          <t>R2</t>
        </is>
      </c>
      <c r="J22" s="7" t="inlineStr">
        <is>
          <t>F53</t>
        </is>
      </c>
      <c r="K22" s="7" t="inlineStr">
        <is>
          <t>Мебель+техника</t>
        </is>
      </c>
      <c r="L22" s="7" t="inlineStr">
        <is>
          <t>—</t>
        </is>
      </c>
      <c r="M22" s="7" t="inlineStr"/>
    </row>
    <row r="23">
      <c r="A23" s="7" t="n">
        <v>19</v>
      </c>
      <c r="B23" s="7" t="inlineStr">
        <is>
          <t>Стол «растущий» 1200×600 с регулировкой</t>
        </is>
      </c>
      <c r="C23" s="7" t="inlineStr">
        <is>
          <t>M11</t>
        </is>
      </c>
      <c r="D23" s="7" t="inlineStr">
        <is>
          <t>Mealux / Kidfix-класс</t>
        </is>
      </c>
      <c r="E23" s="8" t="n">
        <v>1</v>
      </c>
      <c r="F23" s="7" t="inlineStr">
        <is>
          <t>шт</t>
        </is>
      </c>
      <c r="G23" s="9" t="n">
        <v>24000</v>
      </c>
      <c r="H23" s="9">
        <f>E23*G23</f>
        <v/>
      </c>
      <c r="I23" s="7" t="inlineStr">
        <is>
          <t>R2</t>
        </is>
      </c>
      <c r="J23" s="7" t="inlineStr">
        <is>
          <t>F54</t>
        </is>
      </c>
      <c r="K23" s="7" t="inlineStr">
        <is>
          <t>Мебель+техника</t>
        </is>
      </c>
      <c r="L23" s="7" t="inlineStr">
        <is>
          <t>—</t>
        </is>
      </c>
      <c r="M23" s="7" t="inlineStr"/>
    </row>
    <row r="24">
      <c r="A24" s="7" t="n">
        <v>20</v>
      </c>
      <c r="B24" s="7" t="inlineStr">
        <is>
          <t>Стул «растущий»</t>
        </is>
      </c>
      <c r="C24" s="7" t="inlineStr">
        <is>
          <t>M11</t>
        </is>
      </c>
      <c r="D24" s="7" t="inlineStr">
        <is>
          <t>Mealux / Kotokota-класс</t>
        </is>
      </c>
      <c r="E24" s="8" t="n">
        <v>1</v>
      </c>
      <c r="F24" s="7" t="inlineStr">
        <is>
          <t>шт</t>
        </is>
      </c>
      <c r="G24" s="9" t="n">
        <v>9000</v>
      </c>
      <c r="H24" s="9">
        <f>E24*G24</f>
        <v/>
      </c>
      <c r="I24" s="7" t="inlineStr">
        <is>
          <t>R2</t>
        </is>
      </c>
      <c r="J24" s="7" t="inlineStr">
        <is>
          <t>F55</t>
        </is>
      </c>
      <c r="K24" s="7" t="inlineStr">
        <is>
          <t>Мебель+техника</t>
        </is>
      </c>
      <c r="L24" s="7" t="inlineStr">
        <is>
          <t>—</t>
        </is>
      </c>
      <c r="M24" s="7" t="inlineStr"/>
    </row>
    <row r="25">
      <c r="A25" s="7" t="n">
        <v>21</v>
      </c>
      <c r="B25" s="7" t="inlineStr">
        <is>
          <t>ДСК настенный 800×800 (крепление к W6 и потолку)</t>
        </is>
      </c>
      <c r="C25" s="7" t="inlineStr">
        <is>
          <t>M11</t>
        </is>
      </c>
      <c r="D25" s="7" t="inlineStr">
        <is>
          <t>Romana / Kampfer-класс</t>
        </is>
      </c>
      <c r="E25" s="8" t="n">
        <v>1</v>
      </c>
      <c r="F25" s="7" t="inlineStr">
        <is>
          <t>шт</t>
        </is>
      </c>
      <c r="G25" s="9" t="n">
        <v>19000</v>
      </c>
      <c r="H25" s="9">
        <f>E25*G25</f>
        <v/>
      </c>
      <c r="I25" s="7" t="inlineStr">
        <is>
          <t>R2</t>
        </is>
      </c>
      <c r="J25" s="7" t="inlineStr">
        <is>
          <t>F56</t>
        </is>
      </c>
      <c r="K25" s="7" t="inlineStr">
        <is>
          <t>Мебель+техника</t>
        </is>
      </c>
      <c r="L25" s="7" t="inlineStr">
        <is>
          <t>—</t>
        </is>
      </c>
      <c r="M25" s="7" t="inlineStr"/>
    </row>
    <row r="26">
      <c r="A26" s="7" t="n">
        <v>22</v>
      </c>
      <c r="B26" s="7" t="inlineStr">
        <is>
          <t>Стеллаж низкий навесной 1600×350 h 600</t>
        </is>
      </c>
      <c r="C26" s="7" t="inlineStr">
        <is>
          <t>M11</t>
        </is>
      </c>
      <c r="D26" s="7" t="inlineStr">
        <is>
          <t>местный цех</t>
        </is>
      </c>
      <c r="E26" s="8" t="n">
        <v>1</v>
      </c>
      <c r="F26" s="7" t="inlineStr">
        <is>
          <t>шт</t>
        </is>
      </c>
      <c r="G26" s="9" t="n">
        <v>11000</v>
      </c>
      <c r="H26" s="9">
        <f>E26*G26</f>
        <v/>
      </c>
      <c r="I26" s="7" t="inlineStr">
        <is>
          <t>R2</t>
        </is>
      </c>
      <c r="J26" s="7" t="inlineStr">
        <is>
          <t>F57</t>
        </is>
      </c>
      <c r="K26" s="7" t="inlineStr">
        <is>
          <t>Мебель+техника</t>
        </is>
      </c>
      <c r="L26" s="7" t="inlineStr">
        <is>
          <t>—</t>
        </is>
      </c>
      <c r="M26" s="7" t="inlineStr"/>
    </row>
    <row r="27">
      <c r="A27" s="7" t="n">
        <v>23</v>
      </c>
      <c r="B27" s="7" t="inlineStr">
        <is>
          <t>Ковёр игровой 2200×1800 (безворсовый, допуск на ТП)</t>
        </is>
      </c>
      <c r="C27" s="7" t="inlineStr">
        <is>
          <t>—</t>
        </is>
      </c>
      <c r="D27" s="7" t="inlineStr">
        <is>
          <t>—</t>
        </is>
      </c>
      <c r="E27" s="8" t="n">
        <v>1</v>
      </c>
      <c r="F27" s="7" t="inlineStr">
        <is>
          <t>шт</t>
        </is>
      </c>
      <c r="G27" s="9" t="n">
        <v>9000</v>
      </c>
      <c r="H27" s="9">
        <f>E27*G27</f>
        <v/>
      </c>
      <c r="I27" s="7" t="inlineStr">
        <is>
          <t>R2</t>
        </is>
      </c>
      <c r="J27" s="7" t="inlineStr">
        <is>
          <t>F58</t>
        </is>
      </c>
      <c r="K27" s="7" t="inlineStr">
        <is>
          <t>Мебель+техника</t>
        </is>
      </c>
      <c r="L27" s="7" t="inlineStr">
        <is>
          <t>—</t>
        </is>
      </c>
      <c r="M27" s="7" t="inlineStr"/>
    </row>
    <row r="28">
      <c r="A28" s="7" t="n">
        <v>24</v>
      </c>
      <c r="B28" s="7" t="inlineStr">
        <is>
          <t>Банкетка откидная 500×350 на NW9</t>
        </is>
      </c>
      <c r="C28" s="7" t="inlineStr">
        <is>
          <t>M17</t>
        </is>
      </c>
      <c r="D28" s="7" t="inlineStr">
        <is>
          <t>мебельный цех (со шкафом прихожей)</t>
        </is>
      </c>
      <c r="E28" s="8" t="n">
        <v>1</v>
      </c>
      <c r="F28" s="7" t="inlineStr">
        <is>
          <t>шт</t>
        </is>
      </c>
      <c r="G28" s="9" t="n">
        <v>14000</v>
      </c>
      <c r="H28" s="9">
        <f>E28*G28</f>
        <v/>
      </c>
      <c r="I28" s="7" t="inlineStr">
        <is>
          <t>R4</t>
        </is>
      </c>
      <c r="J28" s="7" t="inlineStr">
        <is>
          <t>F63</t>
        </is>
      </c>
      <c r="K28" s="7" t="inlineStr">
        <is>
          <t>Мебель+техника</t>
        </is>
      </c>
      <c r="L28" s="7" t="inlineStr">
        <is>
          <t>—</t>
        </is>
      </c>
      <c r="M28" s="7" t="inlineStr"/>
    </row>
    <row r="29">
      <c r="A29" s="7" t="n">
        <v>25</v>
      </c>
      <c r="B29" s="7" t="inlineStr">
        <is>
          <t>Доставка, подъём (1 этаж) и сборка отдельностоящей мебели</t>
        </is>
      </c>
      <c r="C29" s="7" t="inlineStr">
        <is>
          <t>—</t>
        </is>
      </c>
      <c r="D29" s="7" t="inlineStr">
        <is>
          <t>поставщики</t>
        </is>
      </c>
      <c r="E29" s="8" t="n">
        <v>1</v>
      </c>
      <c r="F29" s="7" t="inlineStr">
        <is>
          <t>усл</t>
        </is>
      </c>
      <c r="G29" s="9" t="n">
        <v>15000</v>
      </c>
      <c r="H29" s="9">
        <f>E29*G29</f>
        <v/>
      </c>
      <c r="I29" s="7" t="inlineStr">
        <is>
          <t>—</t>
        </is>
      </c>
      <c r="J29" s="7" t="inlineStr">
        <is>
          <t>АР-07</t>
        </is>
      </c>
      <c r="K29" s="7" t="inlineStr">
        <is>
          <t>Мебель+техника</t>
        </is>
      </c>
      <c r="L29" s="7" t="inlineStr">
        <is>
          <t>—</t>
        </is>
      </c>
      <c r="M29" s="7" t="inlineStr"/>
    </row>
    <row r="31">
      <c r="B31" s="5" t="inlineStr">
        <is>
          <t>Итого по спецификации</t>
        </is>
      </c>
      <c r="H31" s="10">
        <f>SUM(H5:H29)</f>
        <v/>
      </c>
    </row>
    <row r="32">
      <c r="B32" s="5" t="inlineStr">
        <is>
          <t>в т.ч. «Ремонт»</t>
        </is>
      </c>
      <c r="H32" s="10">
        <f>SUMIF(K5:K29,"Ремонт",H5:H29)</f>
        <v/>
      </c>
    </row>
    <row r="33">
      <c r="B33" s="5" t="inlineStr">
        <is>
          <t>в т.ч. «Мебель+техника»</t>
        </is>
      </c>
      <c r="H33" s="10">
        <f>SUMIF(K5:K29,"Мебель+техника",H5:H29)</f>
        <v/>
      </c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СП-02.2. Кухня и бытовая техника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Модуль K-01 Пенал угловой 600 (сухие продукты; ниша встраиваемой СВЧ — опция)</t>
        </is>
      </c>
      <c r="C5" s="7" t="inlineStr">
        <is>
          <t>600×580×2400</t>
        </is>
      </c>
      <c r="D5" s="7" t="inlineStr">
        <is>
          <t>фабрика СПб по эскизу (M12)</t>
        </is>
      </c>
      <c r="E5" s="8" t="n">
        <v>1</v>
      </c>
      <c r="F5" s="7" t="inlineStr">
        <is>
          <t>шт</t>
        </is>
      </c>
      <c r="G5" s="9" t="n">
        <v>38000</v>
      </c>
      <c r="H5" s="9">
        <f>E5*G5</f>
        <v/>
      </c>
      <c r="I5" s="7" t="inlineStr">
        <is>
          <t>R3</t>
        </is>
      </c>
      <c r="J5" s="7" t="inlineStr">
        <is>
          <t>F01; kitchen.md</t>
        </is>
      </c>
      <c r="K5" s="7" t="inlineStr">
        <is>
          <t>Мебель+техника</t>
        </is>
      </c>
      <c r="L5" s="7" t="inlineStr">
        <is>
          <t>—</t>
        </is>
      </c>
      <c r="M5" s="7" t="inlineStr"/>
    </row>
    <row r="6">
      <c r="A6" s="7" t="n">
        <v>2</v>
      </c>
      <c r="B6" s="7" t="inlineStr">
        <is>
          <t>Модуль K-02 База 450, 3 ящика (кастрюли); в ней розетка духовки</t>
        </is>
      </c>
      <c r="C6" s="7" t="inlineStr">
        <is>
          <t>450×620×880</t>
        </is>
      </c>
      <c r="D6" s="7" t="inlineStr">
        <is>
          <t>фабрика СПб по эскизу (M12)</t>
        </is>
      </c>
      <c r="E6" s="8" t="n">
        <v>1</v>
      </c>
      <c r="F6" s="7" t="inlineStr">
        <is>
          <t>шт</t>
        </is>
      </c>
      <c r="G6" s="9" t="n">
        <v>22000</v>
      </c>
      <c r="H6" s="9">
        <f>E6*G6</f>
        <v/>
      </c>
      <c r="I6" s="7" t="inlineStr">
        <is>
          <t>R3</t>
        </is>
      </c>
      <c r="J6" s="7" t="inlineStr">
        <is>
          <t>F02; kitchen.md</t>
        </is>
      </c>
      <c r="K6" s="7" t="inlineStr">
        <is>
          <t>Мебель+техника</t>
        </is>
      </c>
      <c r="L6" s="7" t="inlineStr">
        <is>
          <t>—</t>
        </is>
      </c>
      <c r="M6" s="7" t="inlineStr"/>
    </row>
    <row r="7">
      <c r="A7" s="7" t="n">
        <v>3</v>
      </c>
      <c r="B7" s="7" t="inlineStr">
        <is>
          <t>Модуль K-03 База 600 под духовой шкаф + индукционная панель</t>
        </is>
      </c>
      <c r="C7" s="7" t="inlineStr">
        <is>
          <t>600×620×880</t>
        </is>
      </c>
      <c r="D7" s="7" t="inlineStr">
        <is>
          <t>фабрика СПб по эскизу (M12)</t>
        </is>
      </c>
      <c r="E7" s="8" t="n">
        <v>1</v>
      </c>
      <c r="F7" s="7" t="inlineStr">
        <is>
          <t>шт</t>
        </is>
      </c>
      <c r="G7" s="9" t="n">
        <v>16000</v>
      </c>
      <c r="H7" s="9">
        <f>E7*G7</f>
        <v/>
      </c>
      <c r="I7" s="7" t="inlineStr">
        <is>
          <t>R3</t>
        </is>
      </c>
      <c r="J7" s="7" t="inlineStr">
        <is>
          <t>F03; kitchen.md</t>
        </is>
      </c>
      <c r="K7" s="7" t="inlineStr">
        <is>
          <t>Мебель+техника</t>
        </is>
      </c>
      <c r="L7" s="7" t="inlineStr">
        <is>
          <t>—</t>
        </is>
      </c>
      <c r="M7" s="7" t="inlineStr"/>
    </row>
    <row r="8">
      <c r="A8" s="7" t="n">
        <v>4</v>
      </c>
      <c r="B8" s="7" t="inlineStr">
        <is>
          <t>Модуль K-04 База 600, 3 ящика (приборы, основная рабочая зона)</t>
        </is>
      </c>
      <c r="C8" s="7" t="inlineStr">
        <is>
          <t>600×620×880</t>
        </is>
      </c>
      <c r="D8" s="7" t="inlineStr">
        <is>
          <t>фабрика СПб по эскизу (M12)</t>
        </is>
      </c>
      <c r="E8" s="8" t="n">
        <v>1</v>
      </c>
      <c r="F8" s="7" t="inlineStr">
        <is>
          <t>шт</t>
        </is>
      </c>
      <c r="G8" s="9" t="n">
        <v>26000</v>
      </c>
      <c r="H8" s="9">
        <f>E8*G8</f>
        <v/>
      </c>
      <c r="I8" s="7" t="inlineStr">
        <is>
          <t>R3</t>
        </is>
      </c>
      <c r="J8" s="7" t="inlineStr">
        <is>
          <t>F04; kitchen.md</t>
        </is>
      </c>
      <c r="K8" s="7" t="inlineStr">
        <is>
          <t>Мебель+техника</t>
        </is>
      </c>
      <c r="L8" s="7" t="inlineStr">
        <is>
          <t>—</t>
        </is>
      </c>
      <c r="M8" s="7" t="inlineStr"/>
    </row>
    <row r="9">
      <c r="A9" s="7" t="n">
        <v>5</v>
      </c>
      <c r="B9" s="7" t="inlineStr">
        <is>
          <t>Модуль K-05 База 600 под мойку (влагостойкая ЛДСП, поддон)</t>
        </is>
      </c>
      <c r="C9" s="7" t="inlineStr">
        <is>
          <t>600×620×880</t>
        </is>
      </c>
      <c r="D9" s="7" t="inlineStr">
        <is>
          <t>фабрика СПб по эскизу (M12)</t>
        </is>
      </c>
      <c r="E9" s="8" t="n">
        <v>1</v>
      </c>
      <c r="F9" s="7" t="inlineStr">
        <is>
          <t>шт</t>
        </is>
      </c>
      <c r="G9" s="9" t="n">
        <v>18000</v>
      </c>
      <c r="H9" s="9">
        <f>E9*G9</f>
        <v/>
      </c>
      <c r="I9" s="7" t="inlineStr">
        <is>
          <t>R3</t>
        </is>
      </c>
      <c r="J9" s="7" t="inlineStr">
        <is>
          <t>F05; kitchen.md</t>
        </is>
      </c>
      <c r="K9" s="7" t="inlineStr">
        <is>
          <t>Мебель+техника</t>
        </is>
      </c>
      <c r="L9" s="7" t="inlineStr">
        <is>
          <t>—</t>
        </is>
      </c>
      <c r="M9" s="7" t="inlineStr"/>
    </row>
    <row r="10">
      <c r="A10" s="7" t="n">
        <v>6</v>
      </c>
      <c r="B10" s="7" t="inlineStr">
        <is>
          <t>Модуль K-07 Пенал 600 под встраиваемый холодильник (ниша 1780–1940)</t>
        </is>
      </c>
      <c r="C10" s="7" t="inlineStr">
        <is>
          <t>600×620×2400</t>
        </is>
      </c>
      <c r="D10" s="7" t="inlineStr">
        <is>
          <t>фабрика СПб по эскизу (M12)</t>
        </is>
      </c>
      <c r="E10" s="8" t="n">
        <v>1</v>
      </c>
      <c r="F10" s="7" t="inlineStr">
        <is>
          <t>шт</t>
        </is>
      </c>
      <c r="G10" s="9" t="n">
        <v>38000</v>
      </c>
      <c r="H10" s="9">
        <f>E10*G10</f>
        <v/>
      </c>
      <c r="I10" s="7" t="inlineStr">
        <is>
          <t>R3</t>
        </is>
      </c>
      <c r="J10" s="7" t="inlineStr">
        <is>
          <t>F07; kitchen.md</t>
        </is>
      </c>
      <c r="K10" s="7" t="inlineStr">
        <is>
          <t>Мебель+техника</t>
        </is>
      </c>
      <c r="L10" s="7" t="inlineStr">
        <is>
          <t>—</t>
        </is>
      </c>
      <c r="M10" s="7" t="inlineStr"/>
    </row>
    <row r="11">
      <c r="A11" s="7" t="n">
        <v>7</v>
      </c>
      <c r="B11" s="7" t="inlineStr">
        <is>
          <t>Модуль K-08 Доборная панель 40 у W10</t>
        </is>
      </c>
      <c r="C11" s="7" t="inlineStr">
        <is>
          <t>40×620×2400</t>
        </is>
      </c>
      <c r="D11" s="7" t="inlineStr">
        <is>
          <t>фабрика СПб по эскизу (M12)</t>
        </is>
      </c>
      <c r="E11" s="8" t="n">
        <v>1</v>
      </c>
      <c r="F11" s="7" t="inlineStr">
        <is>
          <t>шт</t>
        </is>
      </c>
      <c r="G11" s="9" t="n">
        <v>4000</v>
      </c>
      <c r="H11" s="9">
        <f>E11*G11</f>
        <v/>
      </c>
      <c r="I11" s="7" t="inlineStr">
        <is>
          <t>R3</t>
        </is>
      </c>
      <c r="J11" s="7" t="inlineStr">
        <is>
          <t>F08; kitchen.md</t>
        </is>
      </c>
      <c r="K11" s="7" t="inlineStr">
        <is>
          <t>Мебель+техника</t>
        </is>
      </c>
      <c r="L11" s="7" t="inlineStr">
        <is>
          <t>—</t>
        </is>
      </c>
      <c r="M11" s="7" t="inlineStr"/>
    </row>
    <row r="12">
      <c r="A12" s="7" t="n">
        <v>8</v>
      </c>
      <c r="B12" s="7" t="inlineStr">
        <is>
          <t>Модуль KW-01 Навесной 450</t>
        </is>
      </c>
      <c r="C12" s="7" t="inlineStr">
        <is>
          <t>450×350×850</t>
        </is>
      </c>
      <c r="D12" s="7" t="inlineStr">
        <is>
          <t>фабрика СПб по эскизу (M12)</t>
        </is>
      </c>
      <c r="E12" s="8" t="n">
        <v>1</v>
      </c>
      <c r="F12" s="7" t="inlineStr">
        <is>
          <t>шт</t>
        </is>
      </c>
      <c r="G12" s="9" t="n">
        <v>12000</v>
      </c>
      <c r="H12" s="9">
        <f>E12*G12</f>
        <v/>
      </c>
      <c r="I12" s="7" t="inlineStr">
        <is>
          <t>R3</t>
        </is>
      </c>
      <c r="J12" s="7" t="inlineStr">
        <is>
          <t>F10; kitchen.md</t>
        </is>
      </c>
      <c r="K12" s="7" t="inlineStr">
        <is>
          <t>Мебель+техника</t>
        </is>
      </c>
      <c r="L12" s="7" t="inlineStr">
        <is>
          <t>—</t>
        </is>
      </c>
      <c r="M12" s="7" t="inlineStr"/>
    </row>
    <row r="13">
      <c r="A13" s="7" t="n">
        <v>9</v>
      </c>
      <c r="B13" s="7" t="inlineStr">
        <is>
          <t>Модуль KW-02 Навесной 600 со встроенной вытяжкой</t>
        </is>
      </c>
      <c r="C13" s="7" t="inlineStr">
        <is>
          <t>600×350×850</t>
        </is>
      </c>
      <c r="D13" s="7" t="inlineStr">
        <is>
          <t>фабрика СПб по эскизу (M12)</t>
        </is>
      </c>
      <c r="E13" s="8" t="n">
        <v>1</v>
      </c>
      <c r="F13" s="7" t="inlineStr">
        <is>
          <t>шт</t>
        </is>
      </c>
      <c r="G13" s="9" t="n">
        <v>15000</v>
      </c>
      <c r="H13" s="9">
        <f>E13*G13</f>
        <v/>
      </c>
      <c r="I13" s="7" t="inlineStr">
        <is>
          <t>R3</t>
        </is>
      </c>
      <c r="J13" s="7" t="inlineStr">
        <is>
          <t>F11; kitchen.md</t>
        </is>
      </c>
      <c r="K13" s="7" t="inlineStr">
        <is>
          <t>Мебель+техника</t>
        </is>
      </c>
      <c r="L13" s="7" t="inlineStr">
        <is>
          <t>—</t>
        </is>
      </c>
      <c r="M13" s="7" t="inlineStr"/>
    </row>
    <row r="14">
      <c r="A14" s="7" t="n">
        <v>10</v>
      </c>
      <c r="B14" s="7" t="inlineStr">
        <is>
          <t>Модуль KW-03 Навесной 600</t>
        </is>
      </c>
      <c r="C14" s="7" t="inlineStr">
        <is>
          <t>600×350×850</t>
        </is>
      </c>
      <c r="D14" s="7" t="inlineStr">
        <is>
          <t>фабрика СПб по эскизу (M12)</t>
        </is>
      </c>
      <c r="E14" s="8" t="n">
        <v>1</v>
      </c>
      <c r="F14" s="7" t="inlineStr">
        <is>
          <t>шт</t>
        </is>
      </c>
      <c r="G14" s="9" t="n">
        <v>14000</v>
      </c>
      <c r="H14" s="9">
        <f>E14*G14</f>
        <v/>
      </c>
      <c r="I14" s="7" t="inlineStr">
        <is>
          <t>R3</t>
        </is>
      </c>
      <c r="J14" s="7" t="inlineStr">
        <is>
          <t>F12; kitchen.md</t>
        </is>
      </c>
      <c r="K14" s="7" t="inlineStr">
        <is>
          <t>Мебель+техника</t>
        </is>
      </c>
      <c r="L14" s="7" t="inlineStr">
        <is>
          <t>—</t>
        </is>
      </c>
      <c r="M14" s="7" t="inlineStr"/>
    </row>
    <row r="15">
      <c r="A15" s="7" t="n">
        <v>11</v>
      </c>
      <c r="B15" s="7" t="inlineStr">
        <is>
          <t>Модуль KW-04 Навесной 600 с сушкой над мойкой</t>
        </is>
      </c>
      <c r="C15" s="7" t="inlineStr">
        <is>
          <t>600×350×850</t>
        </is>
      </c>
      <c r="D15" s="7" t="inlineStr">
        <is>
          <t>фабрика СПб по эскизу (M12)</t>
        </is>
      </c>
      <c r="E15" s="8" t="n">
        <v>1</v>
      </c>
      <c r="F15" s="7" t="inlineStr">
        <is>
          <t>шт</t>
        </is>
      </c>
      <c r="G15" s="9" t="n">
        <v>15000</v>
      </c>
      <c r="H15" s="9">
        <f>E15*G15</f>
        <v/>
      </c>
      <c r="I15" s="7" t="inlineStr">
        <is>
          <t>R3</t>
        </is>
      </c>
      <c r="J15" s="7" t="inlineStr">
        <is>
          <t>F13; kitchen.md</t>
        </is>
      </c>
      <c r="K15" s="7" t="inlineStr">
        <is>
          <t>Мебель+техника</t>
        </is>
      </c>
      <c r="L15" s="7" t="inlineStr">
        <is>
          <t>—</t>
        </is>
      </c>
      <c r="M15" s="7" t="inlineStr"/>
    </row>
    <row r="16">
      <c r="A16" s="7" t="n">
        <v>12</v>
      </c>
      <c r="B16" s="7" t="inlineStr">
        <is>
          <t>Модуль KW-05 Навесной 600</t>
        </is>
      </c>
      <c r="C16" s="7" t="inlineStr">
        <is>
          <t>600×350×850</t>
        </is>
      </c>
      <c r="D16" s="7" t="inlineStr">
        <is>
          <t>фабрика СПб по эскизу (M12)</t>
        </is>
      </c>
      <c r="E16" s="8" t="n">
        <v>1</v>
      </c>
      <c r="F16" s="7" t="inlineStr">
        <is>
          <t>шт</t>
        </is>
      </c>
      <c r="G16" s="9" t="n">
        <v>14000</v>
      </c>
      <c r="H16" s="9">
        <f>E16*G16</f>
        <v/>
      </c>
      <c r="I16" s="7" t="inlineStr">
        <is>
          <t>R3</t>
        </is>
      </c>
      <c r="J16" s="7" t="inlineStr">
        <is>
          <t>F14; kitchen.md</t>
        </is>
      </c>
      <c r="K16" s="7" t="inlineStr">
        <is>
          <t>Мебель+техника</t>
        </is>
      </c>
      <c r="L16" s="7" t="inlineStr">
        <is>
          <t>—</t>
        </is>
      </c>
      <c r="M16" s="7" t="inlineStr"/>
    </row>
    <row r="17">
      <c r="A17" s="7" t="n">
        <v>13</v>
      </c>
      <c r="B17" s="7" t="inlineStr">
        <is>
          <t>Фасад ПММ 600 (шейкер C4) + крепёж к полновстраиваемой ПММ</t>
        </is>
      </c>
      <c r="C17" s="7" t="inlineStr">
        <is>
          <t>K-06</t>
        </is>
      </c>
      <c r="D17" s="7" t="inlineStr">
        <is>
          <t>фабрика (M12)</t>
        </is>
      </c>
      <c r="E17" s="8" t="n">
        <v>1</v>
      </c>
      <c r="F17" s="7" t="inlineStr">
        <is>
          <t>шт</t>
        </is>
      </c>
      <c r="G17" s="9" t="n">
        <v>8000</v>
      </c>
      <c r="H17" s="9">
        <f>E17*G17</f>
        <v/>
      </c>
      <c r="I17" s="7" t="inlineStr">
        <is>
          <t>R3</t>
        </is>
      </c>
      <c r="J17" s="7" t="inlineStr">
        <is>
          <t>F06; kitchen.md</t>
        </is>
      </c>
      <c r="K17" s="7" t="inlineStr">
        <is>
          <t>Мебель+техника</t>
        </is>
      </c>
      <c r="L17" s="7" t="inlineStr">
        <is>
          <t>—</t>
        </is>
      </c>
      <c r="M17" s="7" t="inlineStr"/>
    </row>
    <row r="18">
      <c r="A18" s="7" t="n">
        <v>14</v>
      </c>
      <c r="B18" s="7" t="inlineStr">
        <is>
          <t>Цоколь с вентрешёткой (над водяным ТП), фальш-панели, карниз-фронт CB-1 (съёмная МДФ-панель)</t>
        </is>
      </c>
      <c r="C18" s="7" t="inlineStr">
        <is>
          <t>по месту</t>
        </is>
      </c>
      <c r="D18" s="7" t="inlineStr">
        <is>
          <t>фабрика (M12)</t>
        </is>
      </c>
      <c r="E18" s="8" t="n">
        <v>1</v>
      </c>
      <c r="F18" s="7" t="inlineStr">
        <is>
          <t>компл</t>
        </is>
      </c>
      <c r="G18" s="9" t="n">
        <v>18000</v>
      </c>
      <c r="H18" s="9">
        <f>E18*G18</f>
        <v/>
      </c>
      <c r="I18" s="7" t="inlineStr">
        <is>
          <t>R3</t>
        </is>
      </c>
      <c r="J18" s="7" t="inlineStr">
        <is>
          <t>kitchen.md п.2; ceilings.json CB-1/HC-3</t>
        </is>
      </c>
      <c r="K18" s="7" t="inlineStr">
        <is>
          <t>Мебель+техника</t>
        </is>
      </c>
      <c r="L18" s="7" t="inlineStr">
        <is>
          <t>—</t>
        </is>
      </c>
      <c r="M18" s="7" t="inlineStr"/>
    </row>
    <row r="19">
      <c r="A19" s="7" t="n">
        <v>15</v>
      </c>
      <c r="B19" s="7" t="inlineStr">
        <is>
          <t>Буфет 800×400×2100: низ — шкаф, ниша +900..+1400, верх — стекло, LED</t>
        </is>
      </c>
      <c r="C19" s="7" t="inlineStr">
        <is>
          <t>F24</t>
        </is>
      </c>
      <c r="D19" s="7" t="inlineStr">
        <is>
          <t>фабрика (M12)</t>
        </is>
      </c>
      <c r="E19" s="8" t="n">
        <v>1</v>
      </c>
      <c r="F19" s="7" t="inlineStr">
        <is>
          <t>шт</t>
        </is>
      </c>
      <c r="G19" s="9" t="n">
        <v>55000</v>
      </c>
      <c r="H19" s="9">
        <f>E19*G19</f>
        <v/>
      </c>
      <c r="I19" s="7" t="inlineStr">
        <is>
          <t>R3</t>
        </is>
      </c>
      <c r="J19" s="7" t="inlineStr">
        <is>
          <t>F24; kitchen.md п.5</t>
        </is>
      </c>
      <c r="K19" s="7" t="inlineStr">
        <is>
          <t>Мебель+техника</t>
        </is>
      </c>
      <c r="L19" s="7" t="inlineStr">
        <is>
          <t>—</t>
        </is>
      </c>
      <c r="M19" s="7" t="inlineStr"/>
    </row>
    <row r="20">
      <c r="A20" s="7" t="n">
        <v>16</v>
      </c>
      <c r="B20" s="7" t="inlineStr">
        <is>
          <t>Столешница кварцевый агломерат 20 мм 3450×640, вырезы мойка/индукция, кромка</t>
        </is>
      </c>
      <c r="C20" s="7" t="inlineStr">
        <is>
          <t>светлый с тёплыми прожилками</t>
        </is>
      </c>
      <c r="D20" s="7" t="inlineStr">
        <is>
          <t>Neomarm / Avant / Grandex</t>
        </is>
      </c>
      <c r="E20" s="8" t="n">
        <v>1</v>
      </c>
      <c r="F20" s="7" t="inlineStr">
        <is>
          <t>компл</t>
        </is>
      </c>
      <c r="G20" s="9" t="n">
        <v>62000</v>
      </c>
      <c r="H20" s="9">
        <f>E20*G20</f>
        <v/>
      </c>
      <c r="I20" s="7" t="inlineStr">
        <is>
          <t>R3</t>
        </is>
      </c>
      <c r="J20" s="7" t="inlineStr">
        <is>
          <t>F09; M13</t>
        </is>
      </c>
      <c r="K20" s="7" t="inlineStr">
        <is>
          <t>Мебель+техника</t>
        </is>
      </c>
      <c r="L20" s="7" t="inlineStr">
        <is>
          <t>—</t>
        </is>
      </c>
      <c r="M20" s="7" t="inlineStr"/>
    </row>
    <row r="21">
      <c r="A21" s="7" t="n">
        <v>17</v>
      </c>
      <c r="B21" s="7" t="inlineStr">
        <is>
          <t>Сортировка мусора выдвижная в K-05</t>
        </is>
      </c>
      <c r="C21" s="7" t="inlineStr">
        <is>
          <t>300×500</t>
        </is>
      </c>
      <c r="D21" s="7" t="inlineStr">
        <is>
          <t>Hailo / Blum-класс</t>
        </is>
      </c>
      <c r="E21" s="8" t="n">
        <v>1</v>
      </c>
      <c r="F21" s="7" t="inlineStr">
        <is>
          <t>шт</t>
        </is>
      </c>
      <c r="G21" s="9" t="n">
        <v>9000</v>
      </c>
      <c r="H21" s="9">
        <f>E21*G21</f>
        <v/>
      </c>
      <c r="I21" s="7" t="inlineStr">
        <is>
          <t>R3</t>
        </is>
      </c>
      <c r="J21" s="7" t="inlineStr">
        <is>
          <t>F21</t>
        </is>
      </c>
      <c r="K21" s="7" t="inlineStr">
        <is>
          <t>Мебель+техника</t>
        </is>
      </c>
      <c r="L21" s="7" t="inlineStr">
        <is>
          <t>—</t>
        </is>
      </c>
      <c r="M21" s="7" t="inlineStr"/>
    </row>
    <row r="22">
      <c r="A22" s="7" t="n">
        <v>18</v>
      </c>
      <c r="B22" s="7" t="inlineStr">
        <is>
          <t>Варочная панель индукционная 60 см, 4 зоны, 7,4 кВт (с ограничением мощности)</t>
        </is>
      </c>
      <c r="C22" s="7" t="inlineStr">
        <is>
          <t>Bosch Serie 4 PUE6…</t>
        </is>
      </c>
      <c r="D22" s="7" t="inlineStr">
        <is>
          <t>Bosch / Haier / Weissgauff</t>
        </is>
      </c>
      <c r="E22" s="8" t="n">
        <v>1</v>
      </c>
      <c r="F22" s="7" t="inlineStr">
        <is>
          <t>шт</t>
        </is>
      </c>
      <c r="G22" s="9" t="n">
        <v>45000</v>
      </c>
      <c r="H22" s="9">
        <f>E22*G22</f>
        <v/>
      </c>
      <c r="I22" s="7" t="inlineStr">
        <is>
          <t>R3</t>
        </is>
      </c>
      <c r="J22" s="7" t="inlineStr">
        <is>
          <t>F15; C7</t>
        </is>
      </c>
      <c r="K22" s="7" t="inlineStr">
        <is>
          <t>Мебель+техника</t>
        </is>
      </c>
      <c r="L22" s="7" t="inlineStr">
        <is>
          <t>—</t>
        </is>
      </c>
      <c r="M22" s="7" t="inlineStr"/>
    </row>
    <row r="23">
      <c r="A23" s="7" t="n">
        <v>19</v>
      </c>
      <c r="B23" s="7" t="inlineStr">
        <is>
          <t>Духовой шкаф встраиваемый 60 см, 3,5 кВт</t>
        </is>
      </c>
      <c r="C23" s="7" t="inlineStr">
        <is>
          <t>Bosch Serie 4 HBA…</t>
        </is>
      </c>
      <c r="D23" s="7" t="inlineStr">
        <is>
          <t>Bosch / Haier</t>
        </is>
      </c>
      <c r="E23" s="8" t="n">
        <v>1</v>
      </c>
      <c r="F23" s="7" t="inlineStr">
        <is>
          <t>шт</t>
        </is>
      </c>
      <c r="G23" s="9" t="n">
        <v>48000</v>
      </c>
      <c r="H23" s="9">
        <f>E23*G23</f>
        <v/>
      </c>
      <c r="I23" s="7" t="inlineStr">
        <is>
          <t>R3</t>
        </is>
      </c>
      <c r="J23" s="7" t="inlineStr">
        <is>
          <t>F16; C8</t>
        </is>
      </c>
      <c r="K23" s="7" t="inlineStr">
        <is>
          <t>Мебель+техника</t>
        </is>
      </c>
      <c r="L23" s="7" t="inlineStr">
        <is>
          <t>—</t>
        </is>
      </c>
      <c r="M23" s="7" t="inlineStr"/>
    </row>
    <row r="24">
      <c r="A24" s="7" t="n">
        <v>20</v>
      </c>
      <c r="B24" s="7" t="inlineStr">
        <is>
          <t>ПММ полновстраиваемая 60 см, 14 комплектов</t>
        </is>
      </c>
      <c r="C24" s="7" t="inlineStr">
        <is>
          <t>Bosch Serie 4 SMV4…</t>
        </is>
      </c>
      <c r="D24" s="7" t="inlineStr">
        <is>
          <t>Bosch / Weissgauff</t>
        </is>
      </c>
      <c r="E24" s="8" t="n">
        <v>1</v>
      </c>
      <c r="F24" s="7" t="inlineStr">
        <is>
          <t>шт</t>
        </is>
      </c>
      <c r="G24" s="9" t="n">
        <v>45000</v>
      </c>
      <c r="H24" s="9">
        <f>E24*G24</f>
        <v/>
      </c>
      <c r="I24" s="7" t="inlineStr">
        <is>
          <t>R3</t>
        </is>
      </c>
      <c r="J24" s="7" t="inlineStr">
        <is>
          <t>F06; C9</t>
        </is>
      </c>
      <c r="K24" s="7" t="inlineStr">
        <is>
          <t>Мебель+техника</t>
        </is>
      </c>
      <c r="L24" s="7" t="inlineStr">
        <is>
          <t>—</t>
        </is>
      </c>
      <c r="M24" s="7" t="inlineStr"/>
    </row>
    <row r="25">
      <c r="A25" s="7" t="n">
        <v>21</v>
      </c>
      <c r="B25" s="7" t="inlineStr">
        <is>
          <t>Холодильник встраиваемый ниша 1780–1940</t>
        </is>
      </c>
      <c r="C25" s="7" t="inlineStr">
        <is>
          <t>Bosch KIV86… / Haier</t>
        </is>
      </c>
      <c r="D25" s="7" t="inlineStr">
        <is>
          <t>Bosch / Haier</t>
        </is>
      </c>
      <c r="E25" s="8" t="n">
        <v>1</v>
      </c>
      <c r="F25" s="7" t="inlineStr">
        <is>
          <t>шт</t>
        </is>
      </c>
      <c r="G25" s="9" t="n">
        <v>72000</v>
      </c>
      <c r="H25" s="9">
        <f>E25*G25</f>
        <v/>
      </c>
      <c r="I25" s="7" t="inlineStr">
        <is>
          <t>R3</t>
        </is>
      </c>
      <c r="J25" s="7" t="inlineStr">
        <is>
          <t>F18; C6</t>
        </is>
      </c>
      <c r="K25" s="7" t="inlineStr">
        <is>
          <t>Мебель+техника</t>
        </is>
      </c>
      <c r="L25" s="7" t="inlineStr">
        <is>
          <t>—</t>
        </is>
      </c>
      <c r="M25" s="7" t="inlineStr"/>
    </row>
    <row r="26">
      <c r="A26" s="7" t="n">
        <v>22</v>
      </c>
      <c r="B26" s="7" t="inlineStr">
        <is>
          <t>Вытяжка встраиваемая 60 см 250–600 м³/ч, обратный клапан</t>
        </is>
      </c>
      <c r="C26" s="7" t="inlineStr">
        <is>
          <t>в модуль KW-02</t>
        </is>
      </c>
      <c r="D26" s="7" t="inlineStr">
        <is>
          <t>Maunfeld / Krona / Bosch</t>
        </is>
      </c>
      <c r="E26" s="8" t="n">
        <v>1</v>
      </c>
      <c r="F26" s="7" t="inlineStr">
        <is>
          <t>шт</t>
        </is>
      </c>
      <c r="G26" s="9" t="n">
        <v>20000</v>
      </c>
      <c r="H26" s="9">
        <f>E26*G26</f>
        <v/>
      </c>
      <c r="I26" s="7" t="inlineStr">
        <is>
          <t>R3</t>
        </is>
      </c>
      <c r="J26" s="7" t="inlineStr">
        <is>
          <t>F17; hvac.json KH1</t>
        </is>
      </c>
      <c r="K26" s="7" t="inlineStr">
        <is>
          <t>Мебель+техника</t>
        </is>
      </c>
      <c r="L26" s="7" t="inlineStr">
        <is>
          <t>—</t>
        </is>
      </c>
      <c r="M26" s="7" t="inlineStr"/>
    </row>
    <row r="27">
      <c r="A27" s="7" t="n">
        <v>23</v>
      </c>
      <c r="B27" s="7" t="inlineStr">
        <is>
          <t>Колонна: стиральная машина + сушильная машина с тепловым насосом, монтажный комплект</t>
        </is>
      </c>
      <c r="C27" s="7" t="inlineStr">
        <is>
          <t>ниша 650×650</t>
        </is>
      </c>
      <c r="D27" s="7" t="inlineStr">
        <is>
          <t>Haier / LG / Bosch</t>
        </is>
      </c>
      <c r="E27" s="8" t="n">
        <v>1</v>
      </c>
      <c r="F27" s="7" t="inlineStr">
        <is>
          <t>компл</t>
        </is>
      </c>
      <c r="G27" s="9" t="n">
        <v>112000</v>
      </c>
      <c r="H27" s="9">
        <f>E27*G27</f>
        <v/>
      </c>
      <c r="I27" s="7" t="inlineStr">
        <is>
          <t>R6</t>
        </is>
      </c>
      <c r="J27" s="7" t="inlineStr">
        <is>
          <t>F80; C10, C11</t>
        </is>
      </c>
      <c r="K27" s="7" t="inlineStr">
        <is>
          <t>Мебель+техника</t>
        </is>
      </c>
      <c r="L27" s="7" t="inlineStr">
        <is>
          <t>—</t>
        </is>
      </c>
      <c r="M27" s="7" t="inlineStr"/>
    </row>
    <row r="28">
      <c r="A28" s="7" t="n">
        <v>24</v>
      </c>
      <c r="B28" s="7" t="inlineStr">
        <is>
          <t>Монтаж кухни (входит в цену фабрики) и подключение встраиваемой техники</t>
        </is>
      </c>
      <c r="C28" s="7" t="inlineStr">
        <is>
          <t>—</t>
        </is>
      </c>
      <c r="D28" s="7" t="inlineStr">
        <is>
          <t>фабрика/сервис</t>
        </is>
      </c>
      <c r="E28" s="8" t="n">
        <v>1</v>
      </c>
      <c r="F28" s="7" t="inlineStr">
        <is>
          <t>усл</t>
        </is>
      </c>
      <c r="G28" s="9" t="n">
        <v>15000</v>
      </c>
      <c r="H28" s="9">
        <f>E28*G28</f>
        <v/>
      </c>
      <c r="I28" s="7" t="inlineStr">
        <is>
          <t>R3</t>
        </is>
      </c>
      <c r="J28" s="7" t="inlineStr">
        <is>
          <t>kitchen.md п.6</t>
        </is>
      </c>
      <c r="K28" s="7" t="inlineStr">
        <is>
          <t>Мебель+техника</t>
        </is>
      </c>
      <c r="L28" s="7" t="inlineStr">
        <is>
          <t>—</t>
        </is>
      </c>
      <c r="M28" s="7" t="inlineStr"/>
    </row>
    <row r="30">
      <c r="B30" s="5" t="inlineStr">
        <is>
          <t>Итого по спецификации</t>
        </is>
      </c>
      <c r="H30" s="10">
        <f>SUM(H5:H28)</f>
        <v/>
      </c>
    </row>
    <row r="31">
      <c r="B31" s="5" t="inlineStr">
        <is>
          <t>в т.ч. «Ремонт»</t>
        </is>
      </c>
      <c r="H31" s="10">
        <f>SUMIF(K5:K28,"Ремонт",H5:H28)</f>
        <v/>
      </c>
    </row>
    <row r="32">
      <c r="B32" s="5" t="inlineStr">
        <is>
          <t>в т.ч. «Мебель+техника»</t>
        </is>
      </c>
      <c r="H32" s="10">
        <f>SUMIF(K5:K28,"Мебель+техника",H5:H28)</f>
        <v/>
      </c>
    </row>
  </sheetData>
  <mergeCells count="1"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СП-03.1. Светильники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Спот встраиваемый LED 7 Вт, 2700 K, CRI ≥ 90, диммируемый, глубина ≤ 80 — группа L2</t>
        </is>
      </c>
      <c r="C5" s="7" t="inlineStr">
        <is>
          <t>Maytoni DL / Elektrostandard</t>
        </is>
      </c>
      <c r="D5" s="7" t="inlineStr">
        <is>
          <t>Maytoni / Elektrostandard</t>
        </is>
      </c>
      <c r="E5" s="8" t="n">
        <v>4</v>
      </c>
      <c r="F5" s="7" t="inlineStr">
        <is>
          <t>шт</t>
        </is>
      </c>
      <c r="G5" s="9" t="n">
        <v>2700</v>
      </c>
      <c r="H5" s="9">
        <f>E5*G5</f>
        <v/>
      </c>
      <c r="I5" s="7" t="inlineStr">
        <is>
          <t>R3</t>
        </is>
      </c>
      <c r="J5" s="7" t="inlineStr">
        <is>
          <t>L2-1, L2-2, L2-3, L2-4; ЭО-01</t>
        </is>
      </c>
      <c r="K5" s="7" t="inlineStr">
        <is>
          <t>Ремонт</t>
        </is>
      </c>
      <c r="L5" s="7" t="inlineStr">
        <is>
          <t>Э13</t>
        </is>
      </c>
      <c r="M5" s="7" t="inlineStr">
        <is>
          <t>7 Вт</t>
        </is>
      </c>
    </row>
    <row r="6">
      <c r="A6" s="7" t="n">
        <v>2</v>
      </c>
      <c r="B6" s="7" t="inlineStr">
        <is>
          <t>Люстра столовой 5–6 рожков LED, латунь сатин/ткань, диммируемая — группа L3</t>
        </is>
      </c>
      <c r="C6" s="7" t="inlineStr">
        <is>
          <t>M34</t>
        </is>
      </c>
      <c r="D6" s="7" t="inlineStr">
        <is>
          <t>Maytoni / Freya / Lussole</t>
        </is>
      </c>
      <c r="E6" s="8" t="n">
        <v>1</v>
      </c>
      <c r="F6" s="7" t="inlineStr">
        <is>
          <t>шт</t>
        </is>
      </c>
      <c r="G6" s="9" t="n">
        <v>32000</v>
      </c>
      <c r="H6" s="9">
        <f>E6*G6</f>
        <v/>
      </c>
      <c r="I6" s="7" t="inlineStr">
        <is>
          <t>R3</t>
        </is>
      </c>
      <c r="J6" s="7" t="inlineStr">
        <is>
          <t>L3-1; ЭО-01</t>
        </is>
      </c>
      <c r="K6" s="7" t="inlineStr">
        <is>
          <t>Ремонт</t>
        </is>
      </c>
      <c r="L6" s="7" t="inlineStr">
        <is>
          <t>Э13</t>
        </is>
      </c>
      <c r="M6" s="7" t="inlineStr">
        <is>
          <t>40 Вт</t>
        </is>
      </c>
    </row>
    <row r="7">
      <c r="A7" s="7" t="n">
        <v>3</v>
      </c>
      <c r="B7" s="7" t="inlineStr">
        <is>
          <t>Бра латунь сатин C8 с абажуром — группа L4</t>
        </is>
      </c>
      <c r="C7" s="7" t="inlineStr">
        <is>
          <t>M34</t>
        </is>
      </c>
      <c r="D7" s="7" t="inlineStr">
        <is>
          <t>Maytoni / Freya / Odeon Light</t>
        </is>
      </c>
      <c r="E7" s="8" t="n">
        <v>2</v>
      </c>
      <c r="F7" s="7" t="inlineStr">
        <is>
          <t>шт</t>
        </is>
      </c>
      <c r="G7" s="9" t="n">
        <v>9500</v>
      </c>
      <c r="H7" s="9">
        <f>E7*G7</f>
        <v/>
      </c>
      <c r="I7" s="7" t="inlineStr">
        <is>
          <t>R3</t>
        </is>
      </c>
      <c r="J7" s="7" t="inlineStr">
        <is>
          <t>L4-1, L4-2; ЭО-01</t>
        </is>
      </c>
      <c r="K7" s="7" t="inlineStr">
        <is>
          <t>Ремонт</t>
        </is>
      </c>
      <c r="L7" s="7" t="inlineStr">
        <is>
          <t>Э13</t>
        </is>
      </c>
      <c r="M7" s="7" t="inlineStr">
        <is>
          <t>6 Вт</t>
        </is>
      </c>
    </row>
    <row r="8">
      <c r="A8" s="7" t="n">
        <v>4</v>
      </c>
      <c r="B8" s="7" t="inlineStr">
        <is>
          <t>Спот встраиваемый LED 7 Вт, 2700 K, CRI ≥ 90, диммируемый, глубина ≤ 80 — группа L6</t>
        </is>
      </c>
      <c r="C8" s="7" t="inlineStr">
        <is>
          <t>Maytoni DL / Elektrostandard</t>
        </is>
      </c>
      <c r="D8" s="7" t="inlineStr">
        <is>
          <t>Maytoni / Elektrostandard</t>
        </is>
      </c>
      <c r="E8" s="8" t="n">
        <v>4</v>
      </c>
      <c r="F8" s="7" t="inlineStr">
        <is>
          <t>шт</t>
        </is>
      </c>
      <c r="G8" s="9" t="n">
        <v>2700</v>
      </c>
      <c r="H8" s="9">
        <f>E8*G8</f>
        <v/>
      </c>
      <c r="I8" s="7" t="inlineStr">
        <is>
          <t>R7</t>
        </is>
      </c>
      <c r="J8" s="7" t="inlineStr">
        <is>
          <t>L6-1, L6-2, L6-3, L6-4; ЭО-01</t>
        </is>
      </c>
      <c r="K8" s="7" t="inlineStr">
        <is>
          <t>Ремонт</t>
        </is>
      </c>
      <c r="L8" s="7" t="inlineStr">
        <is>
          <t>Э13</t>
        </is>
      </c>
      <c r="M8" s="7" t="inlineStr">
        <is>
          <t>5 Вт</t>
        </is>
      </c>
    </row>
    <row r="9">
      <c r="A9" s="7" t="n">
        <v>5</v>
      </c>
      <c r="B9" s="7" t="inlineStr">
        <is>
          <t>Люстра спальни, диммируемая, латунь/ткань — группа L8</t>
        </is>
      </c>
      <c r="C9" s="7" t="inlineStr">
        <is>
          <t>M34</t>
        </is>
      </c>
      <c r="D9" s="7" t="inlineStr">
        <is>
          <t>Maytoni / Odeon Light / Freya</t>
        </is>
      </c>
      <c r="E9" s="8" t="n">
        <v>1</v>
      </c>
      <c r="F9" s="7" t="inlineStr">
        <is>
          <t>шт</t>
        </is>
      </c>
      <c r="G9" s="9" t="n">
        <v>24000</v>
      </c>
      <c r="H9" s="9">
        <f>E9*G9</f>
        <v/>
      </c>
      <c r="I9" s="7" t="inlineStr">
        <is>
          <t>R1</t>
        </is>
      </c>
      <c r="J9" s="7" t="inlineStr">
        <is>
          <t>L8-1; ЭО-01</t>
        </is>
      </c>
      <c r="K9" s="7" t="inlineStr">
        <is>
          <t>Ремонт</t>
        </is>
      </c>
      <c r="L9" s="7" t="inlineStr">
        <is>
          <t>Э13</t>
        </is>
      </c>
      <c r="M9" s="7" t="inlineStr">
        <is>
          <t>40 Вт</t>
        </is>
      </c>
    </row>
    <row r="10">
      <c r="A10" s="7" t="n">
        <v>6</v>
      </c>
      <c r="B10" s="7" t="inlineStr">
        <is>
          <t>Бра латунь сатин C8 с абажуром — группа L11</t>
        </is>
      </c>
      <c r="C10" s="7" t="inlineStr">
        <is>
          <t>M34</t>
        </is>
      </c>
      <c r="D10" s="7" t="inlineStr">
        <is>
          <t>Maytoni / Freya / Odeon Light</t>
        </is>
      </c>
      <c r="E10" s="8" t="n">
        <v>2</v>
      </c>
      <c r="F10" s="7" t="inlineStr">
        <is>
          <t>шт</t>
        </is>
      </c>
      <c r="G10" s="9" t="n">
        <v>9500</v>
      </c>
      <c r="H10" s="9">
        <f>E10*G10</f>
        <v/>
      </c>
      <c r="I10" s="7" t="inlineStr">
        <is>
          <t>R1</t>
        </is>
      </c>
      <c r="J10" s="7" t="inlineStr">
        <is>
          <t>L11-1, L11-2; F41; ЭО-01</t>
        </is>
      </c>
      <c r="K10" s="7" t="inlineStr">
        <is>
          <t>Ремонт</t>
        </is>
      </c>
      <c r="L10" s="7" t="inlineStr">
        <is>
          <t>Э13</t>
        </is>
      </c>
      <c r="M10" s="7" t="inlineStr">
        <is>
          <t>5 Вт</t>
        </is>
      </c>
    </row>
    <row r="11">
      <c r="A11" s="7" t="n">
        <v>7</v>
      </c>
      <c r="B11" s="7" t="inlineStr">
        <is>
          <t>Светильник потолочный рассеянный детской, диммируемый — группа L14</t>
        </is>
      </c>
      <c r="C11" s="7" t="inlineStr">
        <is>
          <t>M34</t>
        </is>
      </c>
      <c r="D11" s="7" t="inlineStr">
        <is>
          <t>Maytoni / Odeon Light / Freya</t>
        </is>
      </c>
      <c r="E11" s="8" t="n">
        <v>1</v>
      </c>
      <c r="F11" s="7" t="inlineStr">
        <is>
          <t>шт</t>
        </is>
      </c>
      <c r="G11" s="9" t="n">
        <v>14000</v>
      </c>
      <c r="H11" s="9">
        <f>E11*G11</f>
        <v/>
      </c>
      <c r="I11" s="7" t="inlineStr">
        <is>
          <t>R2</t>
        </is>
      </c>
      <c r="J11" s="7" t="inlineStr">
        <is>
          <t>L14-1; ЭО-01</t>
        </is>
      </c>
      <c r="K11" s="7" t="inlineStr">
        <is>
          <t>Ремонт</t>
        </is>
      </c>
      <c r="L11" s="7" t="inlineStr">
        <is>
          <t>Э13</t>
        </is>
      </c>
      <c r="M11" s="7" t="inlineStr">
        <is>
          <t>40 Вт</t>
        </is>
      </c>
    </row>
    <row r="12">
      <c r="A12" s="7" t="n">
        <v>8</v>
      </c>
      <c r="B12" s="7" t="inlineStr">
        <is>
          <t>Спот встраиваемый LED 7 Вт, 2700 K, CRI ≥ 90, диммируемый, глубина ≤ 80 — группа L15</t>
        </is>
      </c>
      <c r="C12" s="7" t="inlineStr">
        <is>
          <t>Maytoni DL / Elektrostandard</t>
        </is>
      </c>
      <c r="D12" s="7" t="inlineStr">
        <is>
          <t>Maytoni / Elektrostandard</t>
        </is>
      </c>
      <c r="E12" s="8" t="n">
        <v>5</v>
      </c>
      <c r="F12" s="7" t="inlineStr">
        <is>
          <t>шт</t>
        </is>
      </c>
      <c r="G12" s="9" t="n">
        <v>2700</v>
      </c>
      <c r="H12" s="9">
        <f>E12*G12</f>
        <v/>
      </c>
      <c r="I12" s="7" t="inlineStr">
        <is>
          <t>R4</t>
        </is>
      </c>
      <c r="J12" s="7" t="inlineStr">
        <is>
          <t>L15-1, L15-2, L15-3, L15-4, L15-5; ЭО-01</t>
        </is>
      </c>
      <c r="K12" s="7" t="inlineStr">
        <is>
          <t>Ремонт</t>
        </is>
      </c>
      <c r="L12" s="7" t="inlineStr">
        <is>
          <t>Э13</t>
        </is>
      </c>
      <c r="M12" s="7" t="inlineStr">
        <is>
          <t>6 Вт</t>
        </is>
      </c>
    </row>
    <row r="13">
      <c r="A13" s="7" t="n">
        <v>9</v>
      </c>
      <c r="B13" s="7" t="inlineStr">
        <is>
          <t>Спот встраиваемый LED 7 Вт, 2700 K, CRI ≥ 90, диммируемый, глубина ≤ 80 — группа L16</t>
        </is>
      </c>
      <c r="C13" s="7" t="inlineStr">
        <is>
          <t>Maytoni DL / Elektrostandard</t>
        </is>
      </c>
      <c r="D13" s="7" t="inlineStr">
        <is>
          <t>Maytoni / Elektrostandard</t>
        </is>
      </c>
      <c r="E13" s="8" t="n">
        <v>3</v>
      </c>
      <c r="F13" s="7" t="inlineStr">
        <is>
          <t>шт</t>
        </is>
      </c>
      <c r="G13" s="9" t="n">
        <v>2700</v>
      </c>
      <c r="H13" s="9">
        <f>E13*G13</f>
        <v/>
      </c>
      <c r="I13" s="7" t="inlineStr">
        <is>
          <t>R4</t>
        </is>
      </c>
      <c r="J13" s="7" t="inlineStr">
        <is>
          <t>L16-1, L16-2, L16-3; ЭО-01</t>
        </is>
      </c>
      <c r="K13" s="7" t="inlineStr">
        <is>
          <t>Ремонт</t>
        </is>
      </c>
      <c r="L13" s="7" t="inlineStr">
        <is>
          <t>Э13</t>
        </is>
      </c>
      <c r="M13" s="7" t="inlineStr">
        <is>
          <t>6 Вт</t>
        </is>
      </c>
    </row>
    <row r="14">
      <c r="A14" s="7" t="n">
        <v>10</v>
      </c>
      <c r="B14" s="7" t="inlineStr">
        <is>
          <t>Спот встраиваемый LED IP44, 3000 K, CRI ≥ 90 — группа L19</t>
        </is>
      </c>
      <c r="C14" s="7" t="inlineStr">
        <is>
          <t>Maytoni Zoom IP44-класс</t>
        </is>
      </c>
      <c r="D14" s="7" t="inlineStr">
        <is>
          <t>Maytoni / Elektrostandard</t>
        </is>
      </c>
      <c r="E14" s="8" t="n">
        <v>2</v>
      </c>
      <c r="F14" s="7" t="inlineStr">
        <is>
          <t>шт</t>
        </is>
      </c>
      <c r="G14" s="9" t="n">
        <v>3600</v>
      </c>
      <c r="H14" s="9">
        <f>E14*G14</f>
        <v/>
      </c>
      <c r="I14" s="7" t="inlineStr">
        <is>
          <t>R5</t>
        </is>
      </c>
      <c r="J14" s="7" t="inlineStr">
        <is>
          <t>L19-1, L19-2; ЭО-01</t>
        </is>
      </c>
      <c r="K14" s="7" t="inlineStr">
        <is>
          <t>Ремонт</t>
        </is>
      </c>
      <c r="L14" s="7" t="inlineStr">
        <is>
          <t>Э13</t>
        </is>
      </c>
      <c r="M14" s="7" t="inlineStr">
        <is>
          <t>6 Вт</t>
        </is>
      </c>
    </row>
    <row r="15">
      <c r="A15" s="7" t="n">
        <v>11</v>
      </c>
      <c r="B15" s="7" t="inlineStr">
        <is>
          <t>Спот встраиваемый LED IP65 (над ванной/душем), 3000 K — группа L19</t>
        </is>
      </c>
      <c r="C15" s="7" t="inlineStr">
        <is>
          <t>Maytoni Hoop IP65-класс</t>
        </is>
      </c>
      <c r="D15" s="7" t="inlineStr">
        <is>
          <t>Maytoni / Elektrostandard</t>
        </is>
      </c>
      <c r="E15" s="8" t="n">
        <v>2</v>
      </c>
      <c r="F15" s="7" t="inlineStr">
        <is>
          <t>шт</t>
        </is>
      </c>
      <c r="G15" s="9" t="n">
        <v>4300</v>
      </c>
      <c r="H15" s="9">
        <f>E15*G15</f>
        <v/>
      </c>
      <c r="I15" s="7" t="inlineStr">
        <is>
          <t>R5</t>
        </is>
      </c>
      <c r="J15" s="7" t="inlineStr">
        <is>
          <t>L19-3, L19-4; ЭО-01</t>
        </is>
      </c>
      <c r="K15" s="7" t="inlineStr">
        <is>
          <t>Ремонт</t>
        </is>
      </c>
      <c r="L15" s="7" t="inlineStr">
        <is>
          <t>Э13</t>
        </is>
      </c>
      <c r="M15" s="7" t="inlineStr">
        <is>
          <t>6 Вт</t>
        </is>
      </c>
    </row>
    <row r="16">
      <c r="A16" s="7" t="n">
        <v>12</v>
      </c>
      <c r="B16" s="7" t="inlineStr">
        <is>
          <t>LED зеркального шкафа (в составе F72) — группа L20</t>
        </is>
      </c>
      <c r="C16" s="7" t="inlineStr">
        <is>
          <t>в комплекте F72</t>
        </is>
      </c>
      <c r="D16" s="7" t="inlineStr">
        <is>
          <t>—</t>
        </is>
      </c>
      <c r="E16" s="8" t="n">
        <v>1</v>
      </c>
      <c r="F16" s="7" t="inlineStr">
        <is>
          <t>шт</t>
        </is>
      </c>
      <c r="G16" s="9" t="n">
        <v>0</v>
      </c>
      <c r="H16" s="9">
        <f>E16*G16</f>
        <v/>
      </c>
      <c r="I16" s="7" t="inlineStr">
        <is>
          <t>R5</t>
        </is>
      </c>
      <c r="J16" s="7" t="inlineStr">
        <is>
          <t>L20-1; F72; ЭО-01</t>
        </is>
      </c>
      <c r="K16" s="7" t="inlineStr">
        <is>
          <t>Ремонт</t>
        </is>
      </c>
      <c r="L16" s="7" t="inlineStr">
        <is>
          <t>Э13</t>
        </is>
      </c>
      <c r="M16" s="7" t="inlineStr">
        <is>
          <t>15 Вт</t>
        </is>
      </c>
    </row>
    <row r="17">
      <c r="A17" s="7" t="n">
        <v>13</v>
      </c>
      <c r="B17" s="7" t="inlineStr">
        <is>
          <t>Спот встраиваемый LED IP44, 3000 K, CRI ≥ 90 — группа L22</t>
        </is>
      </c>
      <c r="C17" s="7" t="inlineStr">
        <is>
          <t>Maytoni Zoom IP44-класс</t>
        </is>
      </c>
      <c r="D17" s="7" t="inlineStr">
        <is>
          <t>Maytoni / Elektrostandard</t>
        </is>
      </c>
      <c r="E17" s="8" t="n">
        <v>3</v>
      </c>
      <c r="F17" s="7" t="inlineStr">
        <is>
          <t>шт</t>
        </is>
      </c>
      <c r="G17" s="9" t="n">
        <v>3600</v>
      </c>
      <c r="H17" s="9">
        <f>E17*G17</f>
        <v/>
      </c>
      <c r="I17" s="7" t="inlineStr">
        <is>
          <t>R6</t>
        </is>
      </c>
      <c r="J17" s="7" t="inlineStr">
        <is>
          <t>L22-1, L22-2, L22-3; ЭО-01</t>
        </is>
      </c>
      <c r="K17" s="7" t="inlineStr">
        <is>
          <t>Ремонт</t>
        </is>
      </c>
      <c r="L17" s="7" t="inlineStr">
        <is>
          <t>Э13</t>
        </is>
      </c>
      <c r="M17" s="7" t="inlineStr">
        <is>
          <t>6 Вт</t>
        </is>
      </c>
    </row>
    <row r="18">
      <c r="A18" s="7" t="n">
        <v>14</v>
      </c>
      <c r="B18" s="7" t="inlineStr">
        <is>
          <t>Лента LED 24 В 2700 K CRI ≥ 90 — подсветка рабочей зоны под KW-01..05</t>
        </is>
      </c>
      <c r="C18" s="7" t="inlineStr">
        <is>
          <t>Arlight / Elektrostandard</t>
        </is>
      </c>
      <c r="D18" s="7" t="inlineStr">
        <is>
          <t>Arlight</t>
        </is>
      </c>
      <c r="E18" s="8" t="n">
        <v>3.5</v>
      </c>
      <c r="F18" s="7" t="inlineStr">
        <is>
          <t>м</t>
        </is>
      </c>
      <c r="G18" s="9" t="n">
        <v>1300</v>
      </c>
      <c r="H18" s="9">
        <f>E18*G18</f>
        <v/>
      </c>
      <c r="I18" s="7" t="inlineStr">
        <is>
          <t>R3</t>
        </is>
      </c>
      <c r="J18" s="7" t="inlineStr">
        <is>
          <t>L1-1; F10; F23; ЭО-01</t>
        </is>
      </c>
      <c r="K18" s="7" t="inlineStr">
        <is>
          <t>Ремонт</t>
        </is>
      </c>
      <c r="L18" s="7" t="inlineStr">
        <is>
          <t>Э13</t>
        </is>
      </c>
      <c r="M18" s="7" t="inlineStr">
        <is>
          <t>длина 2.85 м по pos→end + 10 %</t>
        </is>
      </c>
    </row>
    <row r="19">
      <c r="A19" s="7" t="n">
        <v>15</v>
      </c>
      <c r="B19" s="7" t="inlineStr">
        <is>
          <t>Профиль алюминиевый с рассеивателем для L1-1</t>
        </is>
      </c>
      <c r="C19" s="7" t="inlineStr">
        <is>
          <t>Arlight / Elektrostandard</t>
        </is>
      </c>
      <c r="D19" s="7" t="inlineStr">
        <is>
          <t>Arlight</t>
        </is>
      </c>
      <c r="E19" s="8" t="n">
        <v>3</v>
      </c>
      <c r="F19" s="7" t="inlineStr">
        <is>
          <t>м</t>
        </is>
      </c>
      <c r="G19" s="9" t="n">
        <v>900</v>
      </c>
      <c r="H19" s="9">
        <f>E19*G19</f>
        <v/>
      </c>
      <c r="I19" s="7" t="inlineStr">
        <is>
          <t>R3</t>
        </is>
      </c>
      <c r="J19" s="7" t="inlineStr">
        <is>
          <t>L1-1</t>
        </is>
      </c>
      <c r="K19" s="7" t="inlineStr">
        <is>
          <t>Ремонт</t>
        </is>
      </c>
      <c r="L19" s="7" t="inlineStr">
        <is>
          <t>Э13</t>
        </is>
      </c>
      <c r="M19" s="7" t="inlineStr"/>
    </row>
    <row r="20">
      <c r="A20" s="7" t="n">
        <v>16</v>
      </c>
      <c r="B20" s="7" t="inlineStr">
        <is>
          <t>Блок питания 24 В 100 Вт для L1-1</t>
        </is>
      </c>
      <c r="C20" s="7" t="inlineStr">
        <is>
          <t>Arlight ARPV / Mean Well</t>
        </is>
      </c>
      <c r="D20" s="7" t="inlineStr">
        <is>
          <t>Arlight / Mean Well</t>
        </is>
      </c>
      <c r="E20" s="8" t="n">
        <v>1</v>
      </c>
      <c r="F20" s="7" t="inlineStr">
        <is>
          <t>шт</t>
        </is>
      </c>
      <c r="G20" s="9" t="n">
        <v>3000</v>
      </c>
      <c r="H20" s="9">
        <f>E20*G20</f>
        <v/>
      </c>
      <c r="I20" s="7" t="inlineStr">
        <is>
          <t>R3</t>
        </is>
      </c>
      <c r="J20" s="7" t="inlineStr">
        <is>
          <t>L1-1</t>
        </is>
      </c>
      <c r="K20" s="7" t="inlineStr">
        <is>
          <t>Ремонт</t>
        </is>
      </c>
      <c r="L20" s="7" t="inlineStr">
        <is>
          <t>Э13</t>
        </is>
      </c>
      <c r="M20" s="7" t="inlineStr">
        <is>
          <t>60 Вт × 1,25</t>
        </is>
      </c>
    </row>
    <row r="21">
      <c r="A21" s="7" t="n">
        <v>17</v>
      </c>
      <c r="B21" s="7" t="inlineStr">
        <is>
          <t>Лента LED 24 В 2700 K CRI ≥ 90 — LED остеклённого яруса буфета F24</t>
        </is>
      </c>
      <c r="C21" s="7" t="inlineStr">
        <is>
          <t>Arlight / Elektrostandard</t>
        </is>
      </c>
      <c r="D21" s="7" t="inlineStr">
        <is>
          <t>Arlight</t>
        </is>
      </c>
      <c r="E21" s="8" t="n">
        <v>1</v>
      </c>
      <c r="F21" s="7" t="inlineStr">
        <is>
          <t>м</t>
        </is>
      </c>
      <c r="G21" s="9" t="n">
        <v>1300</v>
      </c>
      <c r="H21" s="9">
        <f>E21*G21</f>
        <v/>
      </c>
      <c r="I21" s="7" t="inlineStr">
        <is>
          <t>R3</t>
        </is>
      </c>
      <c r="J21" s="7" t="inlineStr">
        <is>
          <t>L4-3; F24; ЭО-01</t>
        </is>
      </c>
      <c r="K21" s="7" t="inlineStr">
        <is>
          <t>Ремонт</t>
        </is>
      </c>
      <c r="L21" s="7" t="inlineStr">
        <is>
          <t>Э13</t>
        </is>
      </c>
      <c r="M21" s="7" t="inlineStr">
        <is>
          <t>длина 0.73 м по pos→end + 10 %</t>
        </is>
      </c>
    </row>
    <row r="22">
      <c r="A22" s="7" t="n">
        <v>18</v>
      </c>
      <c r="B22" s="7" t="inlineStr">
        <is>
          <t>Профиль алюминиевый с рассеивателем для L4-3</t>
        </is>
      </c>
      <c r="C22" s="7" t="inlineStr">
        <is>
          <t>Arlight / Elektrostandard</t>
        </is>
      </c>
      <c r="D22" s="7" t="inlineStr">
        <is>
          <t>Arlight</t>
        </is>
      </c>
      <c r="E22" s="8" t="n">
        <v>1</v>
      </c>
      <c r="F22" s="7" t="inlineStr">
        <is>
          <t>м</t>
        </is>
      </c>
      <c r="G22" s="9" t="n">
        <v>900</v>
      </c>
      <c r="H22" s="9">
        <f>E22*G22</f>
        <v/>
      </c>
      <c r="I22" s="7" t="inlineStr">
        <is>
          <t>R3</t>
        </is>
      </c>
      <c r="J22" s="7" t="inlineStr">
        <is>
          <t>L4-3</t>
        </is>
      </c>
      <c r="K22" s="7" t="inlineStr">
        <is>
          <t>Ремонт</t>
        </is>
      </c>
      <c r="L22" s="7" t="inlineStr">
        <is>
          <t>Э13</t>
        </is>
      </c>
      <c r="M22" s="7" t="inlineStr"/>
    </row>
    <row r="23">
      <c r="A23" s="7" t="n">
        <v>19</v>
      </c>
      <c r="B23" s="7" t="inlineStr">
        <is>
          <t>Блок питания 24 В 30 Вт для L4-3</t>
        </is>
      </c>
      <c r="C23" s="7" t="inlineStr">
        <is>
          <t>Arlight ARPV / Mean Well</t>
        </is>
      </c>
      <c r="D23" s="7" t="inlineStr">
        <is>
          <t>Arlight / Mean Well</t>
        </is>
      </c>
      <c r="E23" s="8" t="n">
        <v>1</v>
      </c>
      <c r="F23" s="7" t="inlineStr">
        <is>
          <t>шт</t>
        </is>
      </c>
      <c r="G23" s="9" t="n">
        <v>1500</v>
      </c>
      <c r="H23" s="9">
        <f>E23*G23</f>
        <v/>
      </c>
      <c r="I23" s="7" t="inlineStr">
        <is>
          <t>R3</t>
        </is>
      </c>
      <c r="J23" s="7" t="inlineStr">
        <is>
          <t>L4-3</t>
        </is>
      </c>
      <c r="K23" s="7" t="inlineStr">
        <is>
          <t>Ремонт</t>
        </is>
      </c>
      <c r="L23" s="7" t="inlineStr">
        <is>
          <t>Э13</t>
        </is>
      </c>
      <c r="M23" s="7" t="inlineStr">
        <is>
          <t>10 Вт × 1,25</t>
        </is>
      </c>
    </row>
    <row r="24">
      <c r="A24" s="7" t="n">
        <v>20</v>
      </c>
      <c r="B24" s="7" t="inlineStr">
        <is>
          <t xml:space="preserve">Лента LED 24 В 2700 K CRI ≥ 90 — подсветка цоколя кухни 2700K </t>
        </is>
      </c>
      <c r="C24" s="7" t="inlineStr">
        <is>
          <t>Arlight / Elektrostandard</t>
        </is>
      </c>
      <c r="D24" s="7" t="inlineStr">
        <is>
          <t>Arlight</t>
        </is>
      </c>
      <c r="E24" s="8" t="n">
        <v>3.5</v>
      </c>
      <c r="F24" s="7" t="inlineStr">
        <is>
          <t>м</t>
        </is>
      </c>
      <c r="G24" s="9" t="n">
        <v>1300</v>
      </c>
      <c r="H24" s="9">
        <f>E24*G24</f>
        <v/>
      </c>
      <c r="I24" s="7" t="inlineStr">
        <is>
          <t>R3</t>
        </is>
      </c>
      <c r="J24" s="7" t="inlineStr">
        <is>
          <t>L5-1; ЭО-01</t>
        </is>
      </c>
      <c r="K24" s="7" t="inlineStr">
        <is>
          <t>Ремонт</t>
        </is>
      </c>
      <c r="L24" s="7" t="inlineStr">
        <is>
          <t>Э13</t>
        </is>
      </c>
      <c r="M24" s="7" t="inlineStr">
        <is>
          <t>длина 2.85 м по pos→end + 10 %</t>
        </is>
      </c>
    </row>
    <row r="25">
      <c r="A25" s="7" t="n">
        <v>21</v>
      </c>
      <c r="B25" s="7" t="inlineStr">
        <is>
          <t>Профиль алюминиевый с рассеивателем для L5-1</t>
        </is>
      </c>
      <c r="C25" s="7" t="inlineStr">
        <is>
          <t>Arlight / Elektrostandard</t>
        </is>
      </c>
      <c r="D25" s="7" t="inlineStr">
        <is>
          <t>Arlight</t>
        </is>
      </c>
      <c r="E25" s="8" t="n">
        <v>3</v>
      </c>
      <c r="F25" s="7" t="inlineStr">
        <is>
          <t>м</t>
        </is>
      </c>
      <c r="G25" s="9" t="n">
        <v>900</v>
      </c>
      <c r="H25" s="9">
        <f>E25*G25</f>
        <v/>
      </c>
      <c r="I25" s="7" t="inlineStr">
        <is>
          <t>R3</t>
        </is>
      </c>
      <c r="J25" s="7" t="inlineStr">
        <is>
          <t>L5-1</t>
        </is>
      </c>
      <c r="K25" s="7" t="inlineStr">
        <is>
          <t>Ремонт</t>
        </is>
      </c>
      <c r="L25" s="7" t="inlineStr">
        <is>
          <t>Э13</t>
        </is>
      </c>
      <c r="M25" s="7" t="inlineStr"/>
    </row>
    <row r="26">
      <c r="A26" s="7" t="n">
        <v>22</v>
      </c>
      <c r="B26" s="7" t="inlineStr">
        <is>
          <t>Блок питания 24 В 30 Вт для L5-1</t>
        </is>
      </c>
      <c r="C26" s="7" t="inlineStr">
        <is>
          <t>Arlight ARPV / Mean Well</t>
        </is>
      </c>
      <c r="D26" s="7" t="inlineStr">
        <is>
          <t>Arlight / Mean Well</t>
        </is>
      </c>
      <c r="E26" s="8" t="n">
        <v>1</v>
      </c>
      <c r="F26" s="7" t="inlineStr">
        <is>
          <t>шт</t>
        </is>
      </c>
      <c r="G26" s="9" t="n">
        <v>1500</v>
      </c>
      <c r="H26" s="9">
        <f>E26*G26</f>
        <v/>
      </c>
      <c r="I26" s="7" t="inlineStr">
        <is>
          <t>R3</t>
        </is>
      </c>
      <c r="J26" s="7" t="inlineStr">
        <is>
          <t>L5-1</t>
        </is>
      </c>
      <c r="K26" s="7" t="inlineStr">
        <is>
          <t>Ремонт</t>
        </is>
      </c>
      <c r="L26" s="7" t="inlineStr">
        <is>
          <t>Э13</t>
        </is>
      </c>
      <c r="M26" s="7" t="inlineStr">
        <is>
          <t>15 Вт × 1,25</t>
        </is>
      </c>
    </row>
    <row r="27">
      <c r="A27" s="7" t="n">
        <v>23</v>
      </c>
      <c r="B27" s="7" t="inlineStr">
        <is>
          <t xml:space="preserve">Лента LED 24 В 2700 K CRI ≥ 90 — подсветка цоколя П-дивана 24 В 2700K </t>
        </is>
      </c>
      <c r="C27" s="7" t="inlineStr">
        <is>
          <t>Arlight / Elektrostandard</t>
        </is>
      </c>
      <c r="D27" s="7" t="inlineStr">
        <is>
          <t>Arlight</t>
        </is>
      </c>
      <c r="E27" s="8" t="n">
        <v>2</v>
      </c>
      <c r="F27" s="7" t="inlineStr">
        <is>
          <t>м</t>
        </is>
      </c>
      <c r="G27" s="9" t="n">
        <v>1300</v>
      </c>
      <c r="H27" s="9">
        <f>E27*G27</f>
        <v/>
      </c>
      <c r="I27" s="7" t="inlineStr">
        <is>
          <t>R7</t>
        </is>
      </c>
      <c r="J27" s="7" t="inlineStr">
        <is>
          <t>L7-1; F33; F35; ЭО-01</t>
        </is>
      </c>
      <c r="K27" s="7" t="inlineStr">
        <is>
          <t>Ремонт</t>
        </is>
      </c>
      <c r="L27" s="7" t="inlineStr">
        <is>
          <t>Э13</t>
        </is>
      </c>
      <c r="M27" s="7" t="inlineStr">
        <is>
          <t>длина 1.62 м по pos→end + 10 %</t>
        </is>
      </c>
    </row>
    <row r="28">
      <c r="A28" s="7" t="n">
        <v>24</v>
      </c>
      <c r="B28" s="7" t="inlineStr">
        <is>
          <t>Профиль алюминиевый с рассеивателем для L7-1</t>
        </is>
      </c>
      <c r="C28" s="7" t="inlineStr">
        <is>
          <t>Arlight / Elektrostandard</t>
        </is>
      </c>
      <c r="D28" s="7" t="inlineStr">
        <is>
          <t>Arlight</t>
        </is>
      </c>
      <c r="E28" s="8" t="n">
        <v>2</v>
      </c>
      <c r="F28" s="7" t="inlineStr">
        <is>
          <t>м</t>
        </is>
      </c>
      <c r="G28" s="9" t="n">
        <v>900</v>
      </c>
      <c r="H28" s="9">
        <f>E28*G28</f>
        <v/>
      </c>
      <c r="I28" s="7" t="inlineStr">
        <is>
          <t>R7</t>
        </is>
      </c>
      <c r="J28" s="7" t="inlineStr">
        <is>
          <t>L7-1</t>
        </is>
      </c>
      <c r="K28" s="7" t="inlineStr">
        <is>
          <t>Ремонт</t>
        </is>
      </c>
      <c r="L28" s="7" t="inlineStr">
        <is>
          <t>Э13</t>
        </is>
      </c>
      <c r="M28" s="7" t="inlineStr"/>
    </row>
    <row r="29">
      <c r="A29" s="7" t="n">
        <v>25</v>
      </c>
      <c r="B29" s="7" t="inlineStr">
        <is>
          <t>Блок питания 24 В 30 Вт для L7-1</t>
        </is>
      </c>
      <c r="C29" s="7" t="inlineStr">
        <is>
          <t>Arlight ARPV / Mean Well</t>
        </is>
      </c>
      <c r="D29" s="7" t="inlineStr">
        <is>
          <t>Arlight / Mean Well</t>
        </is>
      </c>
      <c r="E29" s="8" t="n">
        <v>1</v>
      </c>
      <c r="F29" s="7" t="inlineStr">
        <is>
          <t>шт</t>
        </is>
      </c>
      <c r="G29" s="9" t="n">
        <v>1500</v>
      </c>
      <c r="H29" s="9">
        <f>E29*G29</f>
        <v/>
      </c>
      <c r="I29" s="7" t="inlineStr">
        <is>
          <t>R7</t>
        </is>
      </c>
      <c r="J29" s="7" t="inlineStr">
        <is>
          <t>L7-1</t>
        </is>
      </c>
      <c r="K29" s="7" t="inlineStr">
        <is>
          <t>Ремонт</t>
        </is>
      </c>
      <c r="L29" s="7" t="inlineStr">
        <is>
          <t>Э13</t>
        </is>
      </c>
      <c r="M29" s="7" t="inlineStr">
        <is>
          <t>20 Вт × 1,25</t>
        </is>
      </c>
    </row>
    <row r="30">
      <c r="A30" s="7" t="n">
        <v>26</v>
      </c>
      <c r="B30" s="7" t="inlineStr">
        <is>
          <t>Лента LED 24 В 2700 K CRI ≥ 90 — LED 2700K в теневом пазу карниза буазери F41; БП 24 В в съём</t>
        </is>
      </c>
      <c r="C30" s="7" t="inlineStr">
        <is>
          <t>Arlight / Elektrostandard</t>
        </is>
      </c>
      <c r="D30" s="7" t="inlineStr">
        <is>
          <t>Arlight</t>
        </is>
      </c>
      <c r="E30" s="8" t="n">
        <v>3.5</v>
      </c>
      <c r="F30" s="7" t="inlineStr">
        <is>
          <t>м</t>
        </is>
      </c>
      <c r="G30" s="9" t="n">
        <v>1300</v>
      </c>
      <c r="H30" s="9">
        <f>E30*G30</f>
        <v/>
      </c>
      <c r="I30" s="7" t="inlineStr">
        <is>
          <t>R1</t>
        </is>
      </c>
      <c r="J30" s="7" t="inlineStr">
        <is>
          <t>L9-1; F41; ЭО-01</t>
        </is>
      </c>
      <c r="K30" s="7" t="inlineStr">
        <is>
          <t>Ремонт</t>
        </is>
      </c>
      <c r="L30" s="7" t="inlineStr">
        <is>
          <t>Э13</t>
        </is>
      </c>
      <c r="M30" s="7" t="inlineStr">
        <is>
          <t>длина 2.9 м по pos→end + 10 %</t>
        </is>
      </c>
    </row>
    <row r="31">
      <c r="A31" s="7" t="n">
        <v>27</v>
      </c>
      <c r="B31" s="7" t="inlineStr">
        <is>
          <t>Профиль алюминиевый с рассеивателем для L9-1</t>
        </is>
      </c>
      <c r="C31" s="7" t="inlineStr">
        <is>
          <t>Arlight / Elektrostandard</t>
        </is>
      </c>
      <c r="D31" s="7" t="inlineStr">
        <is>
          <t>Arlight</t>
        </is>
      </c>
      <c r="E31" s="8" t="n">
        <v>3</v>
      </c>
      <c r="F31" s="7" t="inlineStr">
        <is>
          <t>м</t>
        </is>
      </c>
      <c r="G31" s="9" t="n">
        <v>900</v>
      </c>
      <c r="H31" s="9">
        <f>E31*G31</f>
        <v/>
      </c>
      <c r="I31" s="7" t="inlineStr">
        <is>
          <t>R1</t>
        </is>
      </c>
      <c r="J31" s="7" t="inlineStr">
        <is>
          <t>L9-1</t>
        </is>
      </c>
      <c r="K31" s="7" t="inlineStr">
        <is>
          <t>Ремонт</t>
        </is>
      </c>
      <c r="L31" s="7" t="inlineStr">
        <is>
          <t>Э13</t>
        </is>
      </c>
      <c r="M31" s="7" t="inlineStr"/>
    </row>
    <row r="32">
      <c r="A32" s="7" t="n">
        <v>28</v>
      </c>
      <c r="B32" s="7" t="inlineStr">
        <is>
          <t>Блок питания 24 В 60 Вт для L9-1</t>
        </is>
      </c>
      <c r="C32" s="7" t="inlineStr">
        <is>
          <t>Arlight ARPV / Mean Well</t>
        </is>
      </c>
      <c r="D32" s="7" t="inlineStr">
        <is>
          <t>Arlight / Mean Well</t>
        </is>
      </c>
      <c r="E32" s="8" t="n">
        <v>1</v>
      </c>
      <c r="F32" s="7" t="inlineStr">
        <is>
          <t>шт</t>
        </is>
      </c>
      <c r="G32" s="9" t="n">
        <v>2200</v>
      </c>
      <c r="H32" s="9">
        <f>E32*G32</f>
        <v/>
      </c>
      <c r="I32" s="7" t="inlineStr">
        <is>
          <t>R1</t>
        </is>
      </c>
      <c r="J32" s="7" t="inlineStr">
        <is>
          <t>L9-1</t>
        </is>
      </c>
      <c r="K32" s="7" t="inlineStr">
        <is>
          <t>Ремонт</t>
        </is>
      </c>
      <c r="L32" s="7" t="inlineStr">
        <is>
          <t>Э13</t>
        </is>
      </c>
      <c r="M32" s="7" t="inlineStr">
        <is>
          <t>30 Вт × 1,25</t>
        </is>
      </c>
    </row>
    <row r="33">
      <c r="A33" s="7" t="n">
        <v>29</v>
      </c>
      <c r="B33" s="7" t="inlineStr">
        <is>
          <t xml:space="preserve">Лента LED 24 В 2700 K CRI ≥ 90 — LED 2700K в карнизе по кромке ниши шторы CN-1 </t>
        </is>
      </c>
      <c r="C33" s="7" t="inlineStr">
        <is>
          <t>Arlight / Elektrostandard</t>
        </is>
      </c>
      <c r="D33" s="7" t="inlineStr">
        <is>
          <t>Arlight</t>
        </is>
      </c>
      <c r="E33" s="8" t="n">
        <v>4</v>
      </c>
      <c r="F33" s="7" t="inlineStr">
        <is>
          <t>м</t>
        </is>
      </c>
      <c r="G33" s="9" t="n">
        <v>1300</v>
      </c>
      <c r="H33" s="9">
        <f>E33*G33</f>
        <v/>
      </c>
      <c r="I33" s="7" t="inlineStr">
        <is>
          <t>R1</t>
        </is>
      </c>
      <c r="J33" s="7" t="inlineStr">
        <is>
          <t>L10-1; ЭО-01</t>
        </is>
      </c>
      <c r="K33" s="7" t="inlineStr">
        <is>
          <t>Ремонт</t>
        </is>
      </c>
      <c r="L33" s="7" t="inlineStr">
        <is>
          <t>Э13</t>
        </is>
      </c>
      <c r="M33" s="7" t="inlineStr">
        <is>
          <t>длина 3.38 м по pos→end + 10 %</t>
        </is>
      </c>
    </row>
    <row r="34">
      <c r="A34" s="7" t="n">
        <v>30</v>
      </c>
      <c r="B34" s="7" t="inlineStr">
        <is>
          <t>Профиль алюминиевый с рассеивателем для L10-1</t>
        </is>
      </c>
      <c r="C34" s="7" t="inlineStr">
        <is>
          <t>Arlight / Elektrostandard</t>
        </is>
      </c>
      <c r="D34" s="7" t="inlineStr">
        <is>
          <t>Arlight</t>
        </is>
      </c>
      <c r="E34" s="8" t="n">
        <v>4</v>
      </c>
      <c r="F34" s="7" t="inlineStr">
        <is>
          <t>м</t>
        </is>
      </c>
      <c r="G34" s="9" t="n">
        <v>900</v>
      </c>
      <c r="H34" s="9">
        <f>E34*G34</f>
        <v/>
      </c>
      <c r="I34" s="7" t="inlineStr">
        <is>
          <t>R1</t>
        </is>
      </c>
      <c r="J34" s="7" t="inlineStr">
        <is>
          <t>L10-1</t>
        </is>
      </c>
      <c r="K34" s="7" t="inlineStr">
        <is>
          <t>Ремонт</t>
        </is>
      </c>
      <c r="L34" s="7" t="inlineStr">
        <is>
          <t>Э13</t>
        </is>
      </c>
      <c r="M34" s="7" t="inlineStr"/>
    </row>
    <row r="35">
      <c r="A35" s="7" t="n">
        <v>31</v>
      </c>
      <c r="B35" s="7" t="inlineStr">
        <is>
          <t>Блок питания 24 В 100 Вт для L10-1</t>
        </is>
      </c>
      <c r="C35" s="7" t="inlineStr">
        <is>
          <t>Arlight ARPV / Mean Well</t>
        </is>
      </c>
      <c r="D35" s="7" t="inlineStr">
        <is>
          <t>Arlight / Mean Well</t>
        </is>
      </c>
      <c r="E35" s="8" t="n">
        <v>1</v>
      </c>
      <c r="F35" s="7" t="inlineStr">
        <is>
          <t>шт</t>
        </is>
      </c>
      <c r="G35" s="9" t="n">
        <v>3000</v>
      </c>
      <c r="H35" s="9">
        <f>E35*G35</f>
        <v/>
      </c>
      <c r="I35" s="7" t="inlineStr">
        <is>
          <t>R1</t>
        </is>
      </c>
      <c r="J35" s="7" t="inlineStr">
        <is>
          <t>L10-1</t>
        </is>
      </c>
      <c r="K35" s="7" t="inlineStr">
        <is>
          <t>Ремонт</t>
        </is>
      </c>
      <c r="L35" s="7" t="inlineStr">
        <is>
          <t>Э13</t>
        </is>
      </c>
      <c r="M35" s="7" t="inlineStr">
        <is>
          <t>55 Вт × 1,25</t>
        </is>
      </c>
    </row>
    <row r="36">
      <c r="A36" s="7" t="n">
        <v>32</v>
      </c>
      <c r="B36" s="7" t="inlineStr">
        <is>
          <t xml:space="preserve">Лента LED 24 В 2700 K CRI ≥ 90 — подсветка снизу ТВ-консоли F47 2700K </t>
        </is>
      </c>
      <c r="C36" s="7" t="inlineStr">
        <is>
          <t>Arlight / Elektrostandard</t>
        </is>
      </c>
      <c r="D36" s="7" t="inlineStr">
        <is>
          <t>Arlight</t>
        </is>
      </c>
      <c r="E36" s="8" t="n">
        <v>2</v>
      </c>
      <c r="F36" s="7" t="inlineStr">
        <is>
          <t>м</t>
        </is>
      </c>
      <c r="G36" s="9" t="n">
        <v>1300</v>
      </c>
      <c r="H36" s="9">
        <f>E36*G36</f>
        <v/>
      </c>
      <c r="I36" s="7" t="inlineStr">
        <is>
          <t>R1</t>
        </is>
      </c>
      <c r="J36" s="7" t="inlineStr">
        <is>
          <t>L12-1; F47; ЭО-01</t>
        </is>
      </c>
      <c r="K36" s="7" t="inlineStr">
        <is>
          <t>Ремонт</t>
        </is>
      </c>
      <c r="L36" s="7" t="inlineStr">
        <is>
          <t>Э13</t>
        </is>
      </c>
      <c r="M36" s="7" t="inlineStr">
        <is>
          <t>длина 1.6 м по pos→end + 10 %</t>
        </is>
      </c>
    </row>
    <row r="37">
      <c r="A37" s="7" t="n">
        <v>33</v>
      </c>
      <c r="B37" s="7" t="inlineStr">
        <is>
          <t>Профиль алюминиевый с рассеивателем для L12-1</t>
        </is>
      </c>
      <c r="C37" s="7" t="inlineStr">
        <is>
          <t>Arlight / Elektrostandard</t>
        </is>
      </c>
      <c r="D37" s="7" t="inlineStr">
        <is>
          <t>Arlight</t>
        </is>
      </c>
      <c r="E37" s="8" t="n">
        <v>2</v>
      </c>
      <c r="F37" s="7" t="inlineStr">
        <is>
          <t>м</t>
        </is>
      </c>
      <c r="G37" s="9" t="n">
        <v>900</v>
      </c>
      <c r="H37" s="9">
        <f>E37*G37</f>
        <v/>
      </c>
      <c r="I37" s="7" t="inlineStr">
        <is>
          <t>R1</t>
        </is>
      </c>
      <c r="J37" s="7" t="inlineStr">
        <is>
          <t>L12-1</t>
        </is>
      </c>
      <c r="K37" s="7" t="inlineStr">
        <is>
          <t>Ремонт</t>
        </is>
      </c>
      <c r="L37" s="7" t="inlineStr">
        <is>
          <t>Э13</t>
        </is>
      </c>
      <c r="M37" s="7" t="inlineStr"/>
    </row>
    <row r="38">
      <c r="A38" s="7" t="n">
        <v>34</v>
      </c>
      <c r="B38" s="7" t="inlineStr">
        <is>
          <t>Блок питания 24 В 30 Вт для L12-1</t>
        </is>
      </c>
      <c r="C38" s="7" t="inlineStr">
        <is>
          <t>Arlight ARPV / Mean Well</t>
        </is>
      </c>
      <c r="D38" s="7" t="inlineStr">
        <is>
          <t>Arlight / Mean Well</t>
        </is>
      </c>
      <c r="E38" s="8" t="n">
        <v>1</v>
      </c>
      <c r="F38" s="7" t="inlineStr">
        <is>
          <t>шт</t>
        </is>
      </c>
      <c r="G38" s="9" t="n">
        <v>1500</v>
      </c>
      <c r="H38" s="9">
        <f>E38*G38</f>
        <v/>
      </c>
      <c r="I38" s="7" t="inlineStr">
        <is>
          <t>R1</t>
        </is>
      </c>
      <c r="J38" s="7" t="inlineStr">
        <is>
          <t>L12-1</t>
        </is>
      </c>
      <c r="K38" s="7" t="inlineStr">
        <is>
          <t>Ремонт</t>
        </is>
      </c>
      <c r="L38" s="7" t="inlineStr">
        <is>
          <t>Э13</t>
        </is>
      </c>
      <c r="M38" s="7" t="inlineStr">
        <is>
          <t>10 Вт × 1,25</t>
        </is>
      </c>
    </row>
    <row r="39">
      <c r="A39" s="7" t="n">
        <v>35</v>
      </c>
      <c r="B39" s="7" t="inlineStr">
        <is>
          <t>Лента LED 24 В 2700 K CRI ≥ 90 — подсветка шкафа-купе F45 по датчикам открытия; БП на антресо</t>
        </is>
      </c>
      <c r="C39" s="7" t="inlineStr">
        <is>
          <t>Arlight / Elektrostandard</t>
        </is>
      </c>
      <c r="D39" s="7" t="inlineStr">
        <is>
          <t>Arlight</t>
        </is>
      </c>
      <c r="E39" s="8" t="n">
        <v>2.5</v>
      </c>
      <c r="F39" s="7" t="inlineStr">
        <is>
          <t>м</t>
        </is>
      </c>
      <c r="G39" s="9" t="n">
        <v>1300</v>
      </c>
      <c r="H39" s="9">
        <f>E39*G39</f>
        <v/>
      </c>
      <c r="I39" s="7" t="inlineStr">
        <is>
          <t>R1</t>
        </is>
      </c>
      <c r="J39" s="7" t="inlineStr">
        <is>
          <t>L13-1; F45; ЭО-01</t>
        </is>
      </c>
      <c r="K39" s="7" t="inlineStr">
        <is>
          <t>Ремонт</t>
        </is>
      </c>
      <c r="L39" s="7" t="inlineStr">
        <is>
          <t>Э13</t>
        </is>
      </c>
      <c r="M39" s="7" t="inlineStr">
        <is>
          <t>длина 1.88 м по pos→end + 10 %</t>
        </is>
      </c>
    </row>
    <row r="40">
      <c r="A40" s="7" t="n">
        <v>36</v>
      </c>
      <c r="B40" s="7" t="inlineStr">
        <is>
          <t>Профиль алюминиевый с рассеивателем для L13-1</t>
        </is>
      </c>
      <c r="C40" s="7" t="inlineStr">
        <is>
          <t>Arlight / Elektrostandard</t>
        </is>
      </c>
      <c r="D40" s="7" t="inlineStr">
        <is>
          <t>Arlight</t>
        </is>
      </c>
      <c r="E40" s="8" t="n">
        <v>2</v>
      </c>
      <c r="F40" s="7" t="inlineStr">
        <is>
          <t>м</t>
        </is>
      </c>
      <c r="G40" s="9" t="n">
        <v>900</v>
      </c>
      <c r="H40" s="9">
        <f>E40*G40</f>
        <v/>
      </c>
      <c r="I40" s="7" t="inlineStr">
        <is>
          <t>R1</t>
        </is>
      </c>
      <c r="J40" s="7" t="inlineStr">
        <is>
          <t>L13-1</t>
        </is>
      </c>
      <c r="K40" s="7" t="inlineStr">
        <is>
          <t>Ремонт</t>
        </is>
      </c>
      <c r="L40" s="7" t="inlineStr">
        <is>
          <t>Э13</t>
        </is>
      </c>
      <c r="M40" s="7" t="inlineStr"/>
    </row>
    <row r="41">
      <c r="A41" s="7" t="n">
        <v>37</v>
      </c>
      <c r="B41" s="7" t="inlineStr">
        <is>
          <t>Блок питания 24 В 30 Вт для L13-1</t>
        </is>
      </c>
      <c r="C41" s="7" t="inlineStr">
        <is>
          <t>Arlight ARPV / Mean Well</t>
        </is>
      </c>
      <c r="D41" s="7" t="inlineStr">
        <is>
          <t>Arlight / Mean Well</t>
        </is>
      </c>
      <c r="E41" s="8" t="n">
        <v>1</v>
      </c>
      <c r="F41" s="7" t="inlineStr">
        <is>
          <t>шт</t>
        </is>
      </c>
      <c r="G41" s="9" t="n">
        <v>1500</v>
      </c>
      <c r="H41" s="9">
        <f>E41*G41</f>
        <v/>
      </c>
      <c r="I41" s="7" t="inlineStr">
        <is>
          <t>R1</t>
        </is>
      </c>
      <c r="J41" s="7" t="inlineStr">
        <is>
          <t>L13-1</t>
        </is>
      </c>
      <c r="K41" s="7" t="inlineStr">
        <is>
          <t>Ремонт</t>
        </is>
      </c>
      <c r="L41" s="7" t="inlineStr">
        <is>
          <t>Э13</t>
        </is>
      </c>
      <c r="M41" s="7" t="inlineStr">
        <is>
          <t>20 Вт × 1,25</t>
        </is>
      </c>
    </row>
    <row r="42">
      <c r="A42" s="7" t="n">
        <v>38</v>
      </c>
      <c r="B42" s="7" t="inlineStr">
        <is>
          <t>Лента LED 24 В 2700 K CRI ≥ 90 — ночная подсветка в плинтусе коридора/прихожей по датчикам дв</t>
        </is>
      </c>
      <c r="C42" s="7" t="inlineStr">
        <is>
          <t>Arlight / Elektrostandard</t>
        </is>
      </c>
      <c r="D42" s="7" t="inlineStr">
        <is>
          <t>Arlight</t>
        </is>
      </c>
      <c r="E42" s="8" t="n">
        <v>2.5</v>
      </c>
      <c r="F42" s="7" t="inlineStr">
        <is>
          <t>м</t>
        </is>
      </c>
      <c r="G42" s="9" t="n">
        <v>1300</v>
      </c>
      <c r="H42" s="9">
        <f>E42*G42</f>
        <v/>
      </c>
      <c r="I42" s="7" t="inlineStr">
        <is>
          <t>R4</t>
        </is>
      </c>
      <c r="J42" s="7" t="inlineStr">
        <is>
          <t>L17-1; ЭО-01</t>
        </is>
      </c>
      <c r="K42" s="7" t="inlineStr">
        <is>
          <t>Ремонт</t>
        </is>
      </c>
      <c r="L42" s="7" t="inlineStr">
        <is>
          <t>Э13</t>
        </is>
      </c>
      <c r="M42" s="7" t="inlineStr">
        <is>
          <t>длина 2.25 м по pos→end + 10 %</t>
        </is>
      </c>
    </row>
    <row r="43">
      <c r="A43" s="7" t="n">
        <v>39</v>
      </c>
      <c r="B43" s="7" t="inlineStr">
        <is>
          <t>Профиль алюминиевый с рассеивателем для L17-1</t>
        </is>
      </c>
      <c r="C43" s="7" t="inlineStr">
        <is>
          <t>Arlight / Elektrostandard</t>
        </is>
      </c>
      <c r="D43" s="7" t="inlineStr">
        <is>
          <t>Arlight</t>
        </is>
      </c>
      <c r="E43" s="8" t="n">
        <v>3</v>
      </c>
      <c r="F43" s="7" t="inlineStr">
        <is>
          <t>м</t>
        </is>
      </c>
      <c r="G43" s="9" t="n">
        <v>900</v>
      </c>
      <c r="H43" s="9">
        <f>E43*G43</f>
        <v/>
      </c>
      <c r="I43" s="7" t="inlineStr">
        <is>
          <t>R4</t>
        </is>
      </c>
      <c r="J43" s="7" t="inlineStr">
        <is>
          <t>L17-1</t>
        </is>
      </c>
      <c r="K43" s="7" t="inlineStr">
        <is>
          <t>Ремонт</t>
        </is>
      </c>
      <c r="L43" s="7" t="inlineStr">
        <is>
          <t>Э13</t>
        </is>
      </c>
      <c r="M43" s="7" t="inlineStr"/>
    </row>
    <row r="44">
      <c r="A44" s="7" t="n">
        <v>40</v>
      </c>
      <c r="B44" s="7" t="inlineStr">
        <is>
          <t>Блок питания 24 В 30 Вт для L17-1</t>
        </is>
      </c>
      <c r="C44" s="7" t="inlineStr">
        <is>
          <t>Arlight ARPV / Mean Well</t>
        </is>
      </c>
      <c r="D44" s="7" t="inlineStr">
        <is>
          <t>Arlight / Mean Well</t>
        </is>
      </c>
      <c r="E44" s="8" t="n">
        <v>1</v>
      </c>
      <c r="F44" s="7" t="inlineStr">
        <is>
          <t>шт</t>
        </is>
      </c>
      <c r="G44" s="9" t="n">
        <v>1500</v>
      </c>
      <c r="H44" s="9">
        <f>E44*G44</f>
        <v/>
      </c>
      <c r="I44" s="7" t="inlineStr">
        <is>
          <t>R4</t>
        </is>
      </c>
      <c r="J44" s="7" t="inlineStr">
        <is>
          <t>L17-1</t>
        </is>
      </c>
      <c r="K44" s="7" t="inlineStr">
        <is>
          <t>Ремонт</t>
        </is>
      </c>
      <c r="L44" s="7" t="inlineStr">
        <is>
          <t>Э13</t>
        </is>
      </c>
      <c r="M44" s="7" t="inlineStr">
        <is>
          <t>15 Вт × 1,25</t>
        </is>
      </c>
    </row>
    <row r="45">
      <c r="A45" s="7" t="n">
        <v>41</v>
      </c>
      <c r="B45" s="7" t="inlineStr">
        <is>
          <t>Лента LED 24 В 2700 K CRI ≥ 90 — подсветка шкафа прихожей F60–F62 по датчикам открытия; БП на</t>
        </is>
      </c>
      <c r="C45" s="7" t="inlineStr">
        <is>
          <t>Arlight / Elektrostandard</t>
        </is>
      </c>
      <c r="D45" s="7" t="inlineStr">
        <is>
          <t>Arlight</t>
        </is>
      </c>
      <c r="E45" s="8" t="n">
        <v>3</v>
      </c>
      <c r="F45" s="7" t="inlineStr">
        <is>
          <t>м</t>
        </is>
      </c>
      <c r="G45" s="9" t="n">
        <v>1300</v>
      </c>
      <c r="H45" s="9">
        <f>E45*G45</f>
        <v/>
      </c>
      <c r="I45" s="7" t="inlineStr">
        <is>
          <t>R4</t>
        </is>
      </c>
      <c r="J45" s="7" t="inlineStr">
        <is>
          <t>L18-1; F61; ЭО-01</t>
        </is>
      </c>
      <c r="K45" s="7" t="inlineStr">
        <is>
          <t>Ремонт</t>
        </is>
      </c>
      <c r="L45" s="7" t="inlineStr">
        <is>
          <t>Э13</t>
        </is>
      </c>
      <c r="M45" s="7" t="inlineStr">
        <is>
          <t>длина 2.6 м по pos→end + 10 %</t>
        </is>
      </c>
    </row>
    <row r="46">
      <c r="A46" s="7" t="n">
        <v>42</v>
      </c>
      <c r="B46" s="7" t="inlineStr">
        <is>
          <t>Профиль алюминиевый с рассеивателем для L18-1</t>
        </is>
      </c>
      <c r="C46" s="7" t="inlineStr">
        <is>
          <t>Arlight / Elektrostandard</t>
        </is>
      </c>
      <c r="D46" s="7" t="inlineStr">
        <is>
          <t>Arlight</t>
        </is>
      </c>
      <c r="E46" s="8" t="n">
        <v>3</v>
      </c>
      <c r="F46" s="7" t="inlineStr">
        <is>
          <t>м</t>
        </is>
      </c>
      <c r="G46" s="9" t="n">
        <v>900</v>
      </c>
      <c r="H46" s="9">
        <f>E46*G46</f>
        <v/>
      </c>
      <c r="I46" s="7" t="inlineStr">
        <is>
          <t>R4</t>
        </is>
      </c>
      <c r="J46" s="7" t="inlineStr">
        <is>
          <t>L18-1</t>
        </is>
      </c>
      <c r="K46" s="7" t="inlineStr">
        <is>
          <t>Ремонт</t>
        </is>
      </c>
      <c r="L46" s="7" t="inlineStr">
        <is>
          <t>Э13</t>
        </is>
      </c>
      <c r="M46" s="7" t="inlineStr"/>
    </row>
    <row r="47">
      <c r="A47" s="7" t="n">
        <v>43</v>
      </c>
      <c r="B47" s="7" t="inlineStr">
        <is>
          <t>Блок питания 24 В 30 Вт для L18-1</t>
        </is>
      </c>
      <c r="C47" s="7" t="inlineStr">
        <is>
          <t>Arlight ARPV / Mean Well</t>
        </is>
      </c>
      <c r="D47" s="7" t="inlineStr">
        <is>
          <t>Arlight / Mean Well</t>
        </is>
      </c>
      <c r="E47" s="8" t="n">
        <v>1</v>
      </c>
      <c r="F47" s="7" t="inlineStr">
        <is>
          <t>шт</t>
        </is>
      </c>
      <c r="G47" s="9" t="n">
        <v>1500</v>
      </c>
      <c r="H47" s="9">
        <f>E47*G47</f>
        <v/>
      </c>
      <c r="I47" s="7" t="inlineStr">
        <is>
          <t>R4</t>
        </is>
      </c>
      <c r="J47" s="7" t="inlineStr">
        <is>
          <t>L18-1</t>
        </is>
      </c>
      <c r="K47" s="7" t="inlineStr">
        <is>
          <t>Ремонт</t>
        </is>
      </c>
      <c r="L47" s="7" t="inlineStr">
        <is>
          <t>Э13</t>
        </is>
      </c>
      <c r="M47" s="7" t="inlineStr">
        <is>
          <t>20 Вт × 1,25</t>
        </is>
      </c>
    </row>
    <row r="48">
      <c r="A48" s="7" t="n">
        <v>44</v>
      </c>
      <c r="B48" s="7" t="inlineStr">
        <is>
          <t>Лента LED 12 В IP67 3000 K CRI ≥ 90 — ночная подсветка под тумбой F71 по датчику движения</t>
        </is>
      </c>
      <c r="C48" s="7" t="inlineStr">
        <is>
          <t>Arlight / Elektrostandard</t>
        </is>
      </c>
      <c r="D48" s="7" t="inlineStr">
        <is>
          <t>Arlight</t>
        </is>
      </c>
      <c r="E48" s="8" t="n">
        <v>1</v>
      </c>
      <c r="F48" s="7" t="inlineStr">
        <is>
          <t>м</t>
        </is>
      </c>
      <c r="G48" s="9" t="n">
        <v>1500</v>
      </c>
      <c r="H48" s="9">
        <f>E48*G48</f>
        <v/>
      </c>
      <c r="I48" s="7" t="inlineStr">
        <is>
          <t>R5</t>
        </is>
      </c>
      <c r="J48" s="7" t="inlineStr">
        <is>
          <t>L21-1; ЭО-01</t>
        </is>
      </c>
      <c r="K48" s="7" t="inlineStr">
        <is>
          <t>Ремонт</t>
        </is>
      </c>
      <c r="L48" s="7" t="inlineStr">
        <is>
          <t>Э13</t>
        </is>
      </c>
      <c r="M48" s="7" t="inlineStr">
        <is>
          <t>длина 0.9 м по pos→end + 10 %</t>
        </is>
      </c>
    </row>
    <row r="49">
      <c r="A49" s="7" t="n">
        <v>45</v>
      </c>
      <c r="B49" s="7" t="inlineStr">
        <is>
          <t>Профиль алюминиевый с рассеивателем для L21-1</t>
        </is>
      </c>
      <c r="C49" s="7" t="inlineStr">
        <is>
          <t>Arlight / Elektrostandard</t>
        </is>
      </c>
      <c r="D49" s="7" t="inlineStr">
        <is>
          <t>Arlight</t>
        </is>
      </c>
      <c r="E49" s="8" t="n">
        <v>1</v>
      </c>
      <c r="F49" s="7" t="inlineStr">
        <is>
          <t>м</t>
        </is>
      </c>
      <c r="G49" s="9" t="n">
        <v>900</v>
      </c>
      <c r="H49" s="9">
        <f>E49*G49</f>
        <v/>
      </c>
      <c r="I49" s="7" t="inlineStr">
        <is>
          <t>R5</t>
        </is>
      </c>
      <c r="J49" s="7" t="inlineStr">
        <is>
          <t>L21-1</t>
        </is>
      </c>
      <c r="K49" s="7" t="inlineStr">
        <is>
          <t>Ремонт</t>
        </is>
      </c>
      <c r="L49" s="7" t="inlineStr">
        <is>
          <t>Э13</t>
        </is>
      </c>
      <c r="M49" s="7" t="inlineStr"/>
    </row>
    <row r="50">
      <c r="A50" s="7" t="n">
        <v>46</v>
      </c>
      <c r="B50" s="7" t="inlineStr">
        <is>
          <t>Блок питания 12 В 30 Вт для L21-1</t>
        </is>
      </c>
      <c r="C50" s="7" t="inlineStr">
        <is>
          <t>Arlight ARPV / Mean Well</t>
        </is>
      </c>
      <c r="D50" s="7" t="inlineStr">
        <is>
          <t>Arlight / Mean Well</t>
        </is>
      </c>
      <c r="E50" s="8" t="n">
        <v>1</v>
      </c>
      <c r="F50" s="7" t="inlineStr">
        <is>
          <t>шт</t>
        </is>
      </c>
      <c r="G50" s="9" t="n">
        <v>1500</v>
      </c>
      <c r="H50" s="9">
        <f>E50*G50</f>
        <v/>
      </c>
      <c r="I50" s="7" t="inlineStr">
        <is>
          <t>R5</t>
        </is>
      </c>
      <c r="J50" s="7" t="inlineStr">
        <is>
          <t>L21-1</t>
        </is>
      </c>
      <c r="K50" s="7" t="inlineStr">
        <is>
          <t>Ремонт</t>
        </is>
      </c>
      <c r="L50" s="7" t="inlineStr">
        <is>
          <t>Э13</t>
        </is>
      </c>
      <c r="M50" s="7" t="inlineStr">
        <is>
          <t>5 Вт × 1,25</t>
        </is>
      </c>
    </row>
    <row r="52">
      <c r="B52" s="5" t="inlineStr">
        <is>
          <t>Итого по спецификации</t>
        </is>
      </c>
      <c r="H52" s="10">
        <f>SUM(H5:H50)</f>
        <v/>
      </c>
    </row>
    <row r="53">
      <c r="B53" s="5" t="inlineStr">
        <is>
          <t>в т.ч. «Ремонт»</t>
        </is>
      </c>
      <c r="H53" s="10">
        <f>SUMIF(K5:K50,"Ремонт",H5:H50)</f>
        <v/>
      </c>
    </row>
    <row r="54">
      <c r="B54" s="5" t="inlineStr">
        <is>
          <t>в т.ч. «Мебель+техника»</t>
        </is>
      </c>
      <c r="H54" s="10">
        <f>SUMIF(K5:K50,"Мебель+техника",H5:H50)</f>
        <v/>
      </c>
    </row>
  </sheetData>
  <mergeCells count="1"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СП-03.2. Электроустановочные изделия (серия)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Розетка 2П+З 16 А со шторками (механизм)</t>
        </is>
      </c>
      <c r="C5" s="7" t="inlineStr">
        <is>
          <t>серия ArtGallery, «молочный»</t>
        </is>
      </c>
      <c r="D5" s="7" t="inlineStr">
        <is>
          <t>Systeme Electric</t>
        </is>
      </c>
      <c r="E5" s="8" t="n">
        <v>36</v>
      </c>
      <c r="F5" s="7" t="inlineStr">
        <is>
          <t>шт</t>
        </is>
      </c>
      <c r="G5" s="9" t="n">
        <v>480</v>
      </c>
      <c r="H5" s="9">
        <f>E5*G5</f>
        <v/>
      </c>
      <c r="I5" s="7" t="inlineStr">
        <is>
          <t>все</t>
        </is>
      </c>
      <c r="J5" s="7" t="inlineStr">
        <is>
          <t>P-K01, P-K02, P-K05, P-K06, P-K07, P-K08, P-K09, P-K10, P-K13, P-K14, P-K15, P-K16, P-B01, P-B04a, P-R03, P-R04, P-R05, P-R06, P-R07, P-R08, P-C01, P-C02, P-C04, P-C05, P-H01, P-H02, P-H03</t>
        </is>
      </c>
      <c r="K5" s="7" t="inlineStr">
        <is>
          <t>Ремонт</t>
        </is>
      </c>
      <c r="L5" s="7" t="inlineStr">
        <is>
          <t>Э13</t>
        </is>
      </c>
      <c r="M5" s="7" t="inlineStr"/>
    </row>
    <row r="6">
      <c r="A6" s="7" t="n">
        <v>2</v>
      </c>
      <c r="B6" s="7" t="inlineStr">
        <is>
          <t>Вывод кабеля (механизм-заглушка с выводом) / клеммная колодка (механизм)</t>
        </is>
      </c>
      <c r="C6" s="7" t="inlineStr">
        <is>
          <t>серия ArtGallery, «молочный»</t>
        </is>
      </c>
      <c r="D6" s="7" t="inlineStr">
        <is>
          <t>Systeme Electric</t>
        </is>
      </c>
      <c r="E6" s="8" t="n">
        <v>25</v>
      </c>
      <c r="F6" s="7" t="inlineStr">
        <is>
          <t>шт</t>
        </is>
      </c>
      <c r="G6" s="9" t="n">
        <v>400</v>
      </c>
      <c r="H6" s="9">
        <f>E6*G6</f>
        <v/>
      </c>
      <c r="I6" s="7" t="inlineStr">
        <is>
          <t>все</t>
        </is>
      </c>
      <c r="J6" s="7" t="inlineStr">
        <is>
          <t>P-K03, P-K10a, P-K11, P-K12, P-B02, P-B03, P-B04, P-B05, P-B06, P-B07, P-B08, P-R10, P-R11, P-R12, P-R13, P-R14, P-R15, P-H04, P-H05, P-V03, P-V04, P-V05, P-V06, P-L04, P-L05</t>
        </is>
      </c>
      <c r="K6" s="7" t="inlineStr">
        <is>
          <t>Ремонт</t>
        </is>
      </c>
      <c r="L6" s="7" t="inlineStr">
        <is>
          <t>Э13</t>
        </is>
      </c>
      <c r="M6" s="7" t="inlineStr"/>
    </row>
    <row r="7">
      <c r="A7" s="7" t="n">
        <v>3</v>
      </c>
      <c r="B7" s="7" t="inlineStr">
        <is>
          <t>Розетка 2П+З 16 А IP44 с крышкой (механизм)</t>
        </is>
      </c>
      <c r="C7" s="7" t="inlineStr">
        <is>
          <t>серия ArtGallery, «молочный»</t>
        </is>
      </c>
      <c r="D7" s="7" t="inlineStr">
        <is>
          <t>Systeme Electric</t>
        </is>
      </c>
      <c r="E7" s="8" t="n">
        <v>6</v>
      </c>
      <c r="F7" s="7" t="inlineStr">
        <is>
          <t>шт</t>
        </is>
      </c>
      <c r="G7" s="9" t="n">
        <v>950</v>
      </c>
      <c r="H7" s="9">
        <f>E7*G7</f>
        <v/>
      </c>
      <c r="I7" s="7" t="inlineStr">
        <is>
          <t>все</t>
        </is>
      </c>
      <c r="J7" s="7" t="inlineStr">
        <is>
          <t>P-K04, P-V01, P-V02, P-L01, P-L02, P-L03</t>
        </is>
      </c>
      <c r="K7" s="7" t="inlineStr">
        <is>
          <t>Ремонт</t>
        </is>
      </c>
      <c r="L7" s="7" t="inlineStr">
        <is>
          <t>Э13</t>
        </is>
      </c>
      <c r="M7" s="7" t="inlineStr"/>
    </row>
    <row r="8">
      <c r="A8" s="7" t="n">
        <v>4</v>
      </c>
      <c r="B8" s="7" t="inlineStr">
        <is>
          <t>Розетка 2П+З + USB A/C (быстрая зарядка) (механизм)</t>
        </is>
      </c>
      <c r="C8" s="7" t="inlineStr">
        <is>
          <t>серия ArtGallery, «молочный»</t>
        </is>
      </c>
      <c r="D8" s="7" t="inlineStr">
        <is>
          <t>Systeme Electric</t>
        </is>
      </c>
      <c r="E8" s="8" t="n">
        <v>5</v>
      </c>
      <c r="F8" s="7" t="inlineStr">
        <is>
          <t>шт</t>
        </is>
      </c>
      <c r="G8" s="9" t="n">
        <v>2300</v>
      </c>
      <c r="H8" s="9">
        <f>E8*G8</f>
        <v/>
      </c>
      <c r="I8" s="7" t="inlineStr">
        <is>
          <t>все</t>
        </is>
      </c>
      <c r="J8" s="7" t="inlineStr">
        <is>
          <t>P-B03a, P-B04b, P-R01, P-R02, P-C03</t>
        </is>
      </c>
      <c r="K8" s="7" t="inlineStr">
        <is>
          <t>Ремонт</t>
        </is>
      </c>
      <c r="L8" s="7" t="inlineStr">
        <is>
          <t>Э13</t>
        </is>
      </c>
      <c r="M8" s="7" t="inlineStr"/>
    </row>
    <row r="9">
      <c r="A9" s="7" t="n">
        <v>5</v>
      </c>
      <c r="B9" s="7" t="inlineStr">
        <is>
          <t>Выключатель кнопочный 1кл (под Zigbee-диммер) (механизм)</t>
        </is>
      </c>
      <c r="C9" s="7" t="inlineStr">
        <is>
          <t>серия ArtGallery, «молочный»</t>
        </is>
      </c>
      <c r="D9" s="7" t="inlineStr">
        <is>
          <t>Systeme Electric</t>
        </is>
      </c>
      <c r="E9" s="8" t="n">
        <v>2</v>
      </c>
      <c r="F9" s="7" t="inlineStr">
        <is>
          <t>шт</t>
        </is>
      </c>
      <c r="G9" s="9" t="n">
        <v>700</v>
      </c>
      <c r="H9" s="9">
        <f>E9*G9</f>
        <v/>
      </c>
      <c r="I9" s="7" t="inlineStr">
        <is>
          <t>все</t>
        </is>
      </c>
      <c r="J9" s="7" t="inlineStr">
        <is>
          <t>S1, S11</t>
        </is>
      </c>
      <c r="K9" s="7" t="inlineStr">
        <is>
          <t>Ремонт</t>
        </is>
      </c>
      <c r="L9" s="7" t="inlineStr">
        <is>
          <t>Э13</t>
        </is>
      </c>
      <c r="M9" s="7" t="inlineStr"/>
    </row>
    <row r="10">
      <c r="A10" s="7" t="n">
        <v>6</v>
      </c>
      <c r="B10" s="7" t="inlineStr">
        <is>
          <t>Выключатель 2-клавишный (механизм)</t>
        </is>
      </c>
      <c r="C10" s="7" t="inlineStr">
        <is>
          <t>серия ArtGallery, «молочный»</t>
        </is>
      </c>
      <c r="D10" s="7" t="inlineStr">
        <is>
          <t>Systeme Electric</t>
        </is>
      </c>
      <c r="E10" s="8" t="n">
        <v>4</v>
      </c>
      <c r="F10" s="7" t="inlineStr">
        <is>
          <t>шт</t>
        </is>
      </c>
      <c r="G10" s="9" t="n">
        <v>650</v>
      </c>
      <c r="H10" s="9">
        <f>E10*G10</f>
        <v/>
      </c>
      <c r="I10" s="7" t="inlineStr">
        <is>
          <t>все</t>
        </is>
      </c>
      <c r="J10" s="7" t="inlineStr">
        <is>
          <t>S2, S3, S4, S12</t>
        </is>
      </c>
      <c r="K10" s="7" t="inlineStr">
        <is>
          <t>Ремонт</t>
        </is>
      </c>
      <c r="L10" s="7" t="inlineStr">
        <is>
          <t>Э13</t>
        </is>
      </c>
      <c r="M10" s="7" t="inlineStr"/>
    </row>
    <row r="11">
      <c r="A11" s="7" t="n">
        <v>7</v>
      </c>
      <c r="B11" s="7" t="inlineStr">
        <is>
          <t>Переключатель проходной 2-клавишный (механизм)</t>
        </is>
      </c>
      <c r="C11" s="7" t="inlineStr">
        <is>
          <t>серия ArtGallery, «молочный»</t>
        </is>
      </c>
      <c r="D11" s="7" t="inlineStr">
        <is>
          <t>Systeme Electric</t>
        </is>
      </c>
      <c r="E11" s="8" t="n">
        <v>1</v>
      </c>
      <c r="F11" s="7" t="inlineStr">
        <is>
          <t>шт</t>
        </is>
      </c>
      <c r="G11" s="9" t="n">
        <v>850</v>
      </c>
      <c r="H11" s="9">
        <f>E11*G11</f>
        <v/>
      </c>
      <c r="I11" s="7" t="inlineStr">
        <is>
          <t>все</t>
        </is>
      </c>
      <c r="J11" s="7" t="inlineStr">
        <is>
          <t>S5</t>
        </is>
      </c>
      <c r="K11" s="7" t="inlineStr">
        <is>
          <t>Ремонт</t>
        </is>
      </c>
      <c r="L11" s="7" t="inlineStr">
        <is>
          <t>Э13</t>
        </is>
      </c>
      <c r="M11" s="7" t="inlineStr"/>
    </row>
    <row r="12">
      <c r="A12" s="7" t="n">
        <v>8</v>
      </c>
      <c r="B12" s="7" t="inlineStr">
        <is>
          <t>Переключатель перекрёстный (механизм)</t>
        </is>
      </c>
      <c r="C12" s="7" t="inlineStr">
        <is>
          <t>серия ArtGallery, «молочный»</t>
        </is>
      </c>
      <c r="D12" s="7" t="inlineStr">
        <is>
          <t>Systeme Electric</t>
        </is>
      </c>
      <c r="E12" s="8" t="n">
        <v>1</v>
      </c>
      <c r="F12" s="7" t="inlineStr">
        <is>
          <t>шт</t>
        </is>
      </c>
      <c r="G12" s="9" t="n">
        <v>800</v>
      </c>
      <c r="H12" s="9">
        <f>E12*G12</f>
        <v/>
      </c>
      <c r="I12" s="7" t="inlineStr">
        <is>
          <t>все</t>
        </is>
      </c>
      <c r="J12" s="7" t="inlineStr">
        <is>
          <t>S6</t>
        </is>
      </c>
      <c r="K12" s="7" t="inlineStr">
        <is>
          <t>Ремонт</t>
        </is>
      </c>
      <c r="L12" s="7" t="inlineStr">
        <is>
          <t>Э13</t>
        </is>
      </c>
      <c r="M12" s="7" t="inlineStr"/>
    </row>
    <row r="13">
      <c r="A13" s="7" t="n">
        <v>9</v>
      </c>
      <c r="B13" s="7" t="inlineStr">
        <is>
          <t>Переключатель проходной (механизм)</t>
        </is>
      </c>
      <c r="C13" s="7" t="inlineStr">
        <is>
          <t>серия ArtGallery, «молочный»</t>
        </is>
      </c>
      <c r="D13" s="7" t="inlineStr">
        <is>
          <t>Systeme Electric</t>
        </is>
      </c>
      <c r="E13" s="8" t="n">
        <v>3</v>
      </c>
      <c r="F13" s="7" t="inlineStr">
        <is>
          <t>шт</t>
        </is>
      </c>
      <c r="G13" s="9" t="n">
        <v>600</v>
      </c>
      <c r="H13" s="9">
        <f>E13*G13</f>
        <v/>
      </c>
      <c r="I13" s="7" t="inlineStr">
        <is>
          <t>все</t>
        </is>
      </c>
      <c r="J13" s="7" t="inlineStr">
        <is>
          <t>S7, S8, S13</t>
        </is>
      </c>
      <c r="K13" s="7" t="inlineStr">
        <is>
          <t>Ремонт</t>
        </is>
      </c>
      <c r="L13" s="7" t="inlineStr">
        <is>
          <t>Э13</t>
        </is>
      </c>
      <c r="M13" s="7" t="inlineStr"/>
    </row>
    <row r="14">
      <c r="A14" s="7" t="n">
        <v>10</v>
      </c>
      <c r="B14" s="7" t="inlineStr">
        <is>
          <t>Выключатель 1-клавишный (механизм)</t>
        </is>
      </c>
      <c r="C14" s="7" t="inlineStr">
        <is>
          <t>серия ArtGallery, «молочный»</t>
        </is>
      </c>
      <c r="D14" s="7" t="inlineStr">
        <is>
          <t>Systeme Electric</t>
        </is>
      </c>
      <c r="E14" s="8" t="n">
        <v>4</v>
      </c>
      <c r="F14" s="7" t="inlineStr">
        <is>
          <t>шт</t>
        </is>
      </c>
      <c r="G14" s="9" t="n">
        <v>450</v>
      </c>
      <c r="H14" s="9">
        <f>E14*G14</f>
        <v/>
      </c>
      <c r="I14" s="7" t="inlineStr">
        <is>
          <t>все</t>
        </is>
      </c>
      <c r="J14" s="7" t="inlineStr">
        <is>
          <t>S9, S10, S14, S15</t>
        </is>
      </c>
      <c r="K14" s="7" t="inlineStr">
        <is>
          <t>Ремонт</t>
        </is>
      </c>
      <c r="L14" s="7" t="inlineStr">
        <is>
          <t>Э13</t>
        </is>
      </c>
      <c r="M14" s="7" t="inlineStr"/>
    </row>
    <row r="15">
      <c r="A15" s="7" t="n">
        <v>11</v>
      </c>
      <c r="B15" s="7" t="inlineStr">
        <is>
          <t>Рамка 1-постовая</t>
        </is>
      </c>
      <c r="C15" s="7" t="inlineStr">
        <is>
          <t>ArtGallery, «молочный»</t>
        </is>
      </c>
      <c r="D15" s="7" t="inlineStr">
        <is>
          <t>Systeme Electric</t>
        </is>
      </c>
      <c r="E15" s="8" t="n">
        <v>69</v>
      </c>
      <c r="F15" s="7" t="inlineStr">
        <is>
          <t>шт</t>
        </is>
      </c>
      <c r="G15" s="9" t="n">
        <v>320</v>
      </c>
      <c r="H15" s="9">
        <f>E15*G15</f>
        <v/>
      </c>
      <c r="I15" s="7" t="inlineStr">
        <is>
          <t>все</t>
        </is>
      </c>
      <c r="J15" s="7" t="inlineStr">
        <is>
          <t>sockets (1 пост) + switches</t>
        </is>
      </c>
      <c r="K15" s="7" t="inlineStr">
        <is>
          <t>Ремонт</t>
        </is>
      </c>
      <c r="L15" s="7" t="inlineStr">
        <is>
          <t>Э13</t>
        </is>
      </c>
      <c r="M15" s="7" t="inlineStr">
        <is>
          <t>комбинирование в многопостовые рамки — по ЭО-02/ЭМ-01 при комплектации</t>
        </is>
      </c>
    </row>
    <row r="16">
      <c r="A16" s="7" t="n">
        <v>12</v>
      </c>
      <c r="B16" s="7" t="inlineStr">
        <is>
          <t>Рамка 2-постовая</t>
        </is>
      </c>
      <c r="C16" s="7" t="inlineStr">
        <is>
          <t>ArtGallery, «молочный»</t>
        </is>
      </c>
      <c r="D16" s="7" t="inlineStr">
        <is>
          <t>Systeme Electric</t>
        </is>
      </c>
      <c r="E16" s="8" t="n">
        <v>9</v>
      </c>
      <c r="F16" s="7" t="inlineStr">
        <is>
          <t>шт</t>
        </is>
      </c>
      <c r="G16" s="9" t="n">
        <v>520</v>
      </c>
      <c r="H16" s="9">
        <f>E16*G16</f>
        <v/>
      </c>
      <c r="I16" s="7" t="inlineStr">
        <is>
          <t>все</t>
        </is>
      </c>
      <c r="J16" s="7" t="inlineStr">
        <is>
          <t>sockets «2P+PE×2»</t>
        </is>
      </c>
      <c r="K16" s="7" t="inlineStr">
        <is>
          <t>Ремонт</t>
        </is>
      </c>
      <c r="L16" s="7" t="inlineStr">
        <is>
          <t>Э13</t>
        </is>
      </c>
      <c r="M16" s="7" t="inlineStr"/>
    </row>
    <row r="17">
      <c r="A17" s="7" t="n">
        <v>13</v>
      </c>
      <c r="B17" s="7" t="inlineStr">
        <is>
          <t>Модуль Zigbee диммер/реле за клавишей или контроллер LED 24 В Zigbee (работает без шлюза)</t>
        </is>
      </c>
      <c r="C17" s="7" t="inlineStr">
        <is>
          <t>Aqara / Sonoff / Gledopto</t>
        </is>
      </c>
      <c r="D17" s="7" t="inlineStr">
        <is>
          <t>Aqara / Sonoff</t>
        </is>
      </c>
      <c r="E17" s="8" t="n">
        <v>8</v>
      </c>
      <c r="F17" s="7" t="inlineStr">
        <is>
          <t>шт</t>
        </is>
      </c>
      <c r="G17" s="9" t="n">
        <v>3500</v>
      </c>
      <c r="H17" s="9">
        <f>E17*G17</f>
        <v/>
      </c>
      <c r="I17" s="7" t="inlineStr">
        <is>
          <t>R2, R3, R7</t>
        </is>
      </c>
      <c r="J17" s="7" t="inlineStr">
        <is>
          <t>light_groups L1, L2, L3, L4, L5, L6, L7, L14; electrical.accepted.lighting_control</t>
        </is>
      </c>
      <c r="K17" s="7" t="inlineStr">
        <is>
          <t>Ремонт</t>
        </is>
      </c>
      <c r="L17" s="7" t="inlineStr">
        <is>
          <t>Э13</t>
        </is>
      </c>
      <c r="M17" s="7" t="inlineStr"/>
    </row>
    <row r="18">
      <c r="A18" s="7" t="n">
        <v>14</v>
      </c>
      <c r="B18" s="7" t="inlineStr">
        <is>
          <t>Подрозетник (кирпич/ГКЛ), с шаблоном</t>
        </is>
      </c>
      <c r="C18" s="7" t="inlineStr">
        <is>
          <t>Hegel / Schneider</t>
        </is>
      </c>
      <c r="D18" s="7" t="inlineStr">
        <is>
          <t>Hegel</t>
        </is>
      </c>
      <c r="E18" s="8" t="n">
        <v>87</v>
      </c>
      <c r="F18" s="7" t="inlineStr">
        <is>
          <t>шт</t>
        </is>
      </c>
      <c r="G18" s="9" t="n">
        <v>90</v>
      </c>
      <c r="H18" s="9">
        <f>E18*G18</f>
        <v/>
      </c>
      <c r="I18" s="7" t="inlineStr">
        <is>
          <t>все</t>
        </is>
      </c>
      <c r="J18" s="7" t="inlineStr">
        <is>
          <t>посты sockets + switches</t>
        </is>
      </c>
      <c r="K18" s="7" t="inlineStr">
        <is>
          <t>Ремонт</t>
        </is>
      </c>
      <c r="L18" s="7" t="inlineStr">
        <is>
          <t>Э04</t>
        </is>
      </c>
      <c r="M18" s="7" t="inlineStr"/>
    </row>
    <row r="20">
      <c r="B20" s="5" t="inlineStr">
        <is>
          <t>Итого по спецификации</t>
        </is>
      </c>
      <c r="H20" s="10">
        <f>SUM(H5:H18)</f>
        <v/>
      </c>
    </row>
    <row r="21">
      <c r="B21" s="5" t="inlineStr">
        <is>
          <t>в т.ч. «Ремонт»</t>
        </is>
      </c>
      <c r="H21" s="10">
        <f>SUMIF(K5:K18,"Ремонт",H5:H18)</f>
        <v/>
      </c>
    </row>
    <row r="22">
      <c r="B22" s="5" t="inlineStr">
        <is>
          <t>в т.ч. «Мебель+техника»</t>
        </is>
      </c>
      <c r="H22" s="10">
        <f>SUMIF(K5:K18,"Мебель+техника",H5:H18)</f>
        <v/>
      </c>
    </row>
  </sheetData>
  <mergeCells count="1"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СП-03.3. Щит ЭМ-03 и кабельная продукция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Щит ЩРН-48 (4×12 модулей) накладной/полувстраиваемый IP31</t>
        </is>
      </c>
      <c r="C5" s="7" t="inlineStr">
        <is>
          <t>Hager Volta / Schneider Mini Pragma</t>
        </is>
      </c>
      <c r="D5" s="7" t="inlineStr">
        <is>
          <t>Hager / Schneider</t>
        </is>
      </c>
      <c r="E5" s="8" t="n">
        <v>1</v>
      </c>
      <c r="F5" s="7" t="inlineStr">
        <is>
          <t>шт</t>
        </is>
      </c>
      <c r="G5" s="9" t="n">
        <v>7500</v>
      </c>
      <c r="H5" s="9">
        <f>E5*G5</f>
        <v/>
      </c>
      <c r="I5" s="7" t="inlineStr">
        <is>
          <t>R4</t>
        </is>
      </c>
      <c r="J5" s="7" t="inlineStr">
        <is>
          <t>U15; panel.json panel; ЭМ-03</t>
        </is>
      </c>
      <c r="K5" s="7" t="inlineStr">
        <is>
          <t>Ремонт</t>
        </is>
      </c>
      <c r="L5" s="7" t="inlineStr">
        <is>
          <t>Э04</t>
        </is>
      </c>
      <c r="M5" s="7" t="inlineStr">
        <is>
          <t>занято 32 из 48 мод.</t>
        </is>
      </c>
    </row>
    <row r="6">
      <c r="A6" s="7" t="n">
        <v>2</v>
      </c>
      <c r="B6" s="7" t="inlineStr">
        <is>
          <t>Автомат вводной 2P C63 6 кА</t>
        </is>
      </c>
      <c r="C6" s="7" t="inlineStr">
        <is>
          <t>вводной автомат 2P C63, 6 кА (при выделенной 10–11 кВт — C50</t>
        </is>
      </c>
      <c r="D6" s="7" t="inlineStr">
        <is>
          <t>Schneider Easy9 / Hager / IEK Armat</t>
        </is>
      </c>
      <c r="E6" s="8" t="n">
        <v>1</v>
      </c>
      <c r="F6" s="7" t="inlineStr">
        <is>
          <t>шт</t>
        </is>
      </c>
      <c r="G6" s="9" t="n">
        <v>2600</v>
      </c>
      <c r="H6" s="9">
        <f>E6*G6</f>
        <v/>
      </c>
      <c r="I6" s="7" t="inlineStr">
        <is>
          <t>R4</t>
        </is>
      </c>
      <c r="J6" s="7" t="inlineStr">
        <is>
          <t>QS0/QF0; panel.json input</t>
        </is>
      </c>
      <c r="K6" s="7" t="inlineStr">
        <is>
          <t>Ремонт</t>
        </is>
      </c>
      <c r="L6" s="7" t="inlineStr">
        <is>
          <t>Э04</t>
        </is>
      </c>
      <c r="M6" s="7" t="inlineStr"/>
    </row>
    <row r="7">
      <c r="A7" s="7" t="n">
        <v>3</v>
      </c>
      <c r="B7" s="7" t="inlineStr">
        <is>
          <t>УЗИП тип 2 (1P+N) 20 кА + защита</t>
        </is>
      </c>
      <c r="C7" s="7" t="inlineStr">
        <is>
          <t>УЗИП тип 2 (1P+N) 20 кА + автомат/вставка по паспорту</t>
        </is>
      </c>
      <c r="D7" s="7" t="inlineStr">
        <is>
          <t>Schneider Easy9 / Hager / IEK Armat</t>
        </is>
      </c>
      <c r="E7" s="8" t="n">
        <v>1</v>
      </c>
      <c r="F7" s="7" t="inlineStr">
        <is>
          <t>шт</t>
        </is>
      </c>
      <c r="G7" s="9" t="n">
        <v>6500</v>
      </c>
      <c r="H7" s="9">
        <f>E7*G7</f>
        <v/>
      </c>
      <c r="I7" s="7" t="inlineStr">
        <is>
          <t>R4</t>
        </is>
      </c>
      <c r="J7" s="7" t="inlineStr">
        <is>
          <t>FV1; panel.json input</t>
        </is>
      </c>
      <c r="K7" s="7" t="inlineStr">
        <is>
          <t>Ремонт</t>
        </is>
      </c>
      <c r="L7" s="7" t="inlineStr">
        <is>
          <t>Э04</t>
        </is>
      </c>
      <c r="M7" s="7" t="inlineStr"/>
    </row>
    <row r="8">
      <c r="A8" s="7" t="n">
        <v>4</v>
      </c>
      <c r="B8" s="7" t="inlineStr">
        <is>
          <t>Реле контроля напряжения 63 А</t>
        </is>
      </c>
      <c r="C8" s="7" t="inlineStr">
        <is>
          <t>реле контроля напряжения 63 А (УЗМ-51М/RBUZ D63t), 170–260 В</t>
        </is>
      </c>
      <c r="D8" s="7" t="inlineStr">
        <is>
          <t>Schneider Easy9 / Hager / IEK Armat</t>
        </is>
      </c>
      <c r="E8" s="8" t="n">
        <v>1</v>
      </c>
      <c r="F8" s="7" t="inlineStr">
        <is>
          <t>шт</t>
        </is>
      </c>
      <c r="G8" s="9" t="n">
        <v>4500</v>
      </c>
      <c r="H8" s="9">
        <f>E8*G8</f>
        <v/>
      </c>
      <c r="I8" s="7" t="inlineStr">
        <is>
          <t>R4</t>
        </is>
      </c>
      <c r="J8" s="7" t="inlineStr">
        <is>
          <t>KV1; panel.json input</t>
        </is>
      </c>
      <c r="K8" s="7" t="inlineStr">
        <is>
          <t>Ремонт</t>
        </is>
      </c>
      <c r="L8" s="7" t="inlineStr">
        <is>
          <t>Э04</t>
        </is>
      </c>
      <c r="M8" s="7" t="inlineStr"/>
    </row>
    <row r="9">
      <c r="A9" s="7" t="n">
        <v>5</v>
      </c>
      <c r="B9" s="7" t="inlineStr">
        <is>
          <t>УЗО 2P 80 А 100 мА тип S (противопожарное)</t>
        </is>
      </c>
      <c r="C9" s="7" t="inlineStr">
        <is>
          <t>УЗО 2P 80 А 100 мА тип S (противопожарное, селективное к гру</t>
        </is>
      </c>
      <c r="D9" s="7" t="inlineStr">
        <is>
          <t>Schneider Easy9 / Hager / IEK Armat</t>
        </is>
      </c>
      <c r="E9" s="8" t="n">
        <v>1</v>
      </c>
      <c r="F9" s="7" t="inlineStr">
        <is>
          <t>шт</t>
        </is>
      </c>
      <c r="G9" s="9" t="n">
        <v>9500</v>
      </c>
      <c r="H9" s="9">
        <f>E9*G9</f>
        <v/>
      </c>
      <c r="I9" s="7" t="inlineStr">
        <is>
          <t>R4</t>
        </is>
      </c>
      <c r="J9" s="7" t="inlineStr">
        <is>
          <t>QD0; panel.json input</t>
        </is>
      </c>
      <c r="K9" s="7" t="inlineStr">
        <is>
          <t>Ремонт</t>
        </is>
      </c>
      <c r="L9" s="7" t="inlineStr">
        <is>
          <t>Э04</t>
        </is>
      </c>
      <c r="M9" s="7" t="inlineStr"/>
    </row>
    <row r="10">
      <c r="A10" s="7" t="n">
        <v>6</v>
      </c>
      <c r="B10" s="7" t="inlineStr">
        <is>
          <t>Индикатор наличия напряжения</t>
        </is>
      </c>
      <c r="C10" s="7" t="inlineStr">
        <is>
          <t>индикатор наличия напряжения</t>
        </is>
      </c>
      <c r="D10" s="7" t="inlineStr">
        <is>
          <t>Schneider Easy9 / Hager / IEK Armat</t>
        </is>
      </c>
      <c r="E10" s="8" t="n">
        <v>1</v>
      </c>
      <c r="F10" s="7" t="inlineStr">
        <is>
          <t>шт</t>
        </is>
      </c>
      <c r="G10" s="9" t="n">
        <v>600</v>
      </c>
      <c r="H10" s="9">
        <f>E10*G10</f>
        <v/>
      </c>
      <c r="I10" s="7" t="inlineStr">
        <is>
          <t>R4</t>
        </is>
      </c>
      <c r="J10" s="7" t="inlineStr">
        <is>
          <t>HL; panel.json input</t>
        </is>
      </c>
      <c r="K10" s="7" t="inlineStr">
        <is>
          <t>Ремонт</t>
        </is>
      </c>
      <c r="L10" s="7" t="inlineStr">
        <is>
          <t>Э04</t>
        </is>
      </c>
      <c r="M10" s="7" t="inlineStr"/>
    </row>
    <row r="11">
      <c r="A11" s="7" t="n">
        <v>7</v>
      </c>
      <c r="B11" s="7" t="inlineStr">
        <is>
          <t>Автомат 1P C10 6 кА</t>
        </is>
      </c>
      <c r="C11" s="7" t="inlineStr">
        <is>
          <t>Schneider Easy9 / Hager / IEK Armat</t>
        </is>
      </c>
      <c r="D11" s="7" t="inlineStr">
        <is>
          <t>Schneider / Hager</t>
        </is>
      </c>
      <c r="E11" s="8" t="n">
        <v>2</v>
      </c>
      <c r="F11" s="7" t="inlineStr">
        <is>
          <t>шт</t>
        </is>
      </c>
      <c r="G11" s="9" t="n">
        <v>650</v>
      </c>
      <c r="H11" s="9">
        <f>E11*G11</f>
        <v/>
      </c>
      <c r="I11" s="7" t="inlineStr">
        <is>
          <t>R4</t>
        </is>
      </c>
      <c r="J11" s="7" t="inlineStr">
        <is>
          <t>C1, C2; ЭМ-03</t>
        </is>
      </c>
      <c r="K11" s="7" t="inlineStr">
        <is>
          <t>Ремонт</t>
        </is>
      </c>
      <c r="L11" s="7" t="inlineStr">
        <is>
          <t>Э04</t>
        </is>
      </c>
      <c r="M11" s="7" t="inlineStr"/>
    </row>
    <row r="12">
      <c r="A12" s="7" t="n">
        <v>8</v>
      </c>
      <c r="B12" s="7" t="inlineStr">
        <is>
          <t>АВДТ 1P+N C10 30 мА тип A 6 кА</t>
        </is>
      </c>
      <c r="C12" s="7" t="inlineStr">
        <is>
          <t>Schneider Easy9 / Hager / IEK Armat</t>
        </is>
      </c>
      <c r="D12" s="7" t="inlineStr">
        <is>
          <t>Schneider / Hager</t>
        </is>
      </c>
      <c r="E12" s="8" t="n">
        <v>1</v>
      </c>
      <c r="F12" s="7" t="inlineStr">
        <is>
          <t>шт</t>
        </is>
      </c>
      <c r="G12" s="9" t="n">
        <v>3000</v>
      </c>
      <c r="H12" s="9">
        <f>E12*G12</f>
        <v/>
      </c>
      <c r="I12" s="7" t="inlineStr">
        <is>
          <t>R4</t>
        </is>
      </c>
      <c r="J12" s="7" t="inlineStr">
        <is>
          <t>C3; ЭМ-03</t>
        </is>
      </c>
      <c r="K12" s="7" t="inlineStr">
        <is>
          <t>Ремонт</t>
        </is>
      </c>
      <c r="L12" s="7" t="inlineStr">
        <is>
          <t>Э04</t>
        </is>
      </c>
      <c r="M12" s="7" t="inlineStr"/>
    </row>
    <row r="13">
      <c r="A13" s="7" t="n">
        <v>9</v>
      </c>
      <c r="B13" s="7" t="inlineStr">
        <is>
          <t>АВДТ 1P+N C16 30 мА тип A 6 кА</t>
        </is>
      </c>
      <c r="C13" s="7" t="inlineStr">
        <is>
          <t>Schneider Easy9 / Hager / IEK Armat</t>
        </is>
      </c>
      <c r="D13" s="7" t="inlineStr">
        <is>
          <t>Schneider / Hager</t>
        </is>
      </c>
      <c r="E13" s="8" t="n">
        <v>17</v>
      </c>
      <c r="F13" s="7" t="inlineStr">
        <is>
          <t>шт</t>
        </is>
      </c>
      <c r="G13" s="9" t="n">
        <v>3000</v>
      </c>
      <c r="H13" s="9">
        <f>E13*G13</f>
        <v/>
      </c>
      <c r="I13" s="7" t="inlineStr">
        <is>
          <t>R4</t>
        </is>
      </c>
      <c r="J13" s="7" t="inlineStr">
        <is>
          <t>C4, C5, C6, C8, C9, C10, C11, C13, C14, C15, C16, C17, C18, C19, C20, C21, C22; ЭМ-03</t>
        </is>
      </c>
      <c r="K13" s="7" t="inlineStr">
        <is>
          <t>Ремонт</t>
        </is>
      </c>
      <c r="L13" s="7" t="inlineStr">
        <is>
          <t>Э04</t>
        </is>
      </c>
      <c r="M13" s="7" t="inlineStr"/>
    </row>
    <row r="14">
      <c r="A14" s="7" t="n">
        <v>10</v>
      </c>
      <c r="B14" s="7" t="inlineStr">
        <is>
          <t>АВДТ 1P+N C32 30 мА тип A 6 кА (2 мод.)</t>
        </is>
      </c>
      <c r="C14" s="7" t="inlineStr">
        <is>
          <t>Schneider Easy9 / Hager / IEK Armat</t>
        </is>
      </c>
      <c r="D14" s="7" t="inlineStr">
        <is>
          <t>Schneider / Hager</t>
        </is>
      </c>
      <c r="E14" s="8" t="n">
        <v>1</v>
      </c>
      <c r="F14" s="7" t="inlineStr">
        <is>
          <t>шт</t>
        </is>
      </c>
      <c r="G14" s="9" t="n">
        <v>5200</v>
      </c>
      <c r="H14" s="9">
        <f>E14*G14</f>
        <v/>
      </c>
      <c r="I14" s="7" t="inlineStr">
        <is>
          <t>R4</t>
        </is>
      </c>
      <c r="J14" s="7" t="inlineStr">
        <is>
          <t>C7; ЭМ-03</t>
        </is>
      </c>
      <c r="K14" s="7" t="inlineStr">
        <is>
          <t>Ремонт</t>
        </is>
      </c>
      <c r="L14" s="7" t="inlineStr">
        <is>
          <t>Э04</t>
        </is>
      </c>
      <c r="M14" s="7" t="inlineStr"/>
    </row>
    <row r="15">
      <c r="A15" s="7" t="n">
        <v>11</v>
      </c>
      <c r="B15" s="7" t="inlineStr">
        <is>
          <t>АВДТ 1P+N C16 10 мА тип A 6 кА</t>
        </is>
      </c>
      <c r="C15" s="7" t="inlineStr">
        <is>
          <t>Schneider Easy9 / Hager / IEK Armat</t>
        </is>
      </c>
      <c r="D15" s="7" t="inlineStr">
        <is>
          <t>Schneider / Hager</t>
        </is>
      </c>
      <c r="E15" s="8" t="n">
        <v>1</v>
      </c>
      <c r="F15" s="7" t="inlineStr">
        <is>
          <t>шт</t>
        </is>
      </c>
      <c r="G15" s="9" t="n">
        <v>4800</v>
      </c>
      <c r="H15" s="9">
        <f>E15*G15</f>
        <v/>
      </c>
      <c r="I15" s="7" t="inlineStr">
        <is>
          <t>R4</t>
        </is>
      </c>
      <c r="J15" s="7" t="inlineStr">
        <is>
          <t>C12; ЭМ-03</t>
        </is>
      </c>
      <c r="K15" s="7" t="inlineStr">
        <is>
          <t>Ремонт</t>
        </is>
      </c>
      <c r="L15" s="7" t="inlineStr">
        <is>
          <t>Э04</t>
        </is>
      </c>
      <c r="M15" s="7" t="inlineStr"/>
    </row>
    <row r="16">
      <c r="A16" s="7" t="n">
        <v>12</v>
      </c>
      <c r="B16" s="7" t="inlineStr">
        <is>
          <t>Шины N/PE, гребёнки, заглушки, маркировка, DIN-розетки ×3 (P-SS1 в U16)</t>
        </is>
      </c>
      <c r="C16" s="7" t="inlineStr">
        <is>
          <t>—</t>
        </is>
      </c>
      <c r="D16" s="7" t="inlineStr">
        <is>
          <t>Hager / Schneider</t>
        </is>
      </c>
      <c r="E16" s="8" t="n">
        <v>1</v>
      </c>
      <c r="F16" s="7" t="inlineStr">
        <is>
          <t>компл</t>
        </is>
      </c>
      <c r="G16" s="9" t="n">
        <v>6500</v>
      </c>
      <c r="H16" s="9">
        <f>E16*G16</f>
        <v/>
      </c>
      <c r="I16" s="7" t="inlineStr">
        <is>
          <t>R4</t>
        </is>
      </c>
      <c r="J16" s="7" t="inlineStr">
        <is>
          <t>panel.json; P-SS1</t>
        </is>
      </c>
      <c r="K16" s="7" t="inlineStr">
        <is>
          <t>Ремонт</t>
        </is>
      </c>
      <c r="L16" s="7" t="inlineStr">
        <is>
          <t>Э04</t>
        </is>
      </c>
      <c r="M16" s="7" t="inlineStr"/>
    </row>
    <row r="17">
      <c r="A17" s="7" t="n">
        <v>13</v>
      </c>
      <c r="B17" s="7" t="inlineStr">
        <is>
          <t>Кабель ВВГнг(А)-LS 3×1,5</t>
        </is>
      </c>
      <c r="C17" s="7" t="inlineStr">
        <is>
          <t>ГОСТ 31996</t>
        </is>
      </c>
      <c r="D17" s="7" t="inlineStr">
        <is>
          <t>Кольчугино / Конкорд / Севкабель</t>
        </is>
      </c>
      <c r="E17" s="8">
        <f>CEILING(240.6*1.15,5)</f>
        <v/>
      </c>
      <c r="F17" s="7" t="inlineStr">
        <is>
          <t>м</t>
        </is>
      </c>
      <c r="G17" s="9" t="n">
        <v>115</v>
      </c>
      <c r="H17" s="9">
        <f>E17*G17</f>
        <v/>
      </c>
      <c r="I17" s="7" t="inlineStr">
        <is>
          <t>все</t>
        </is>
      </c>
      <c r="J17" s="7" t="inlineStr">
        <is>
          <t>C1, C2, C3; panel.json length_m</t>
        </is>
      </c>
      <c r="K17" s="7" t="inlineStr">
        <is>
          <t>Ремонт</t>
        </is>
      </c>
      <c r="L17" s="7" t="inlineStr">
        <is>
          <t>Э04</t>
        </is>
      </c>
      <c r="M17" s="7" t="inlineStr">
        <is>
          <t>Σ 240.6 м × 1,15</t>
        </is>
      </c>
    </row>
    <row r="18">
      <c r="A18" s="7" t="n">
        <v>14</v>
      </c>
      <c r="B18" s="7" t="inlineStr">
        <is>
          <t>Кабель ВВГнг(А)-LS 3×2,5</t>
        </is>
      </c>
      <c r="C18" s="7" t="inlineStr">
        <is>
          <t>ГОСТ 31996</t>
        </is>
      </c>
      <c r="D18" s="7" t="inlineStr">
        <is>
          <t>Кольчугино / Конкорд / Севкабель</t>
        </is>
      </c>
      <c r="E18" s="8">
        <f>CEILING(338.8*1.15,5)</f>
        <v/>
      </c>
      <c r="F18" s="7" t="inlineStr">
        <is>
          <t>м</t>
        </is>
      </c>
      <c r="G18" s="9" t="n">
        <v>170</v>
      </c>
      <c r="H18" s="9">
        <f>E18*G18</f>
        <v/>
      </c>
      <c r="I18" s="7" t="inlineStr">
        <is>
          <t>все</t>
        </is>
      </c>
      <c r="J18" s="7" t="inlineStr">
        <is>
          <t>C4, C5, C6, C8, C9, C10, C11, C12, C13, C14, C15, C16, C17, C18, C19, C20, C21, C22; panel.json length_m</t>
        </is>
      </c>
      <c r="K18" s="7" t="inlineStr">
        <is>
          <t>Ремонт</t>
        </is>
      </c>
      <c r="L18" s="7" t="inlineStr">
        <is>
          <t>Э04</t>
        </is>
      </c>
      <c r="M18" s="7" t="inlineStr">
        <is>
          <t>Σ 338.8 м × 1,15</t>
        </is>
      </c>
    </row>
    <row r="19">
      <c r="A19" s="7" t="n">
        <v>15</v>
      </c>
      <c r="B19" s="7" t="inlineStr">
        <is>
          <t>Кабель ВВГнг(А)-LS 3×6</t>
        </is>
      </c>
      <c r="C19" s="7" t="inlineStr">
        <is>
          <t>ГОСТ 31996</t>
        </is>
      </c>
      <c r="D19" s="7" t="inlineStr">
        <is>
          <t>Кольчугино / Конкорд / Севкабель</t>
        </is>
      </c>
      <c r="E19" s="8">
        <f>CEILING(13.2*1.15,5)</f>
        <v/>
      </c>
      <c r="F19" s="7" t="inlineStr">
        <is>
          <t>м</t>
        </is>
      </c>
      <c r="G19" s="9" t="n">
        <v>430</v>
      </c>
      <c r="H19" s="9">
        <f>E19*G19</f>
        <v/>
      </c>
      <c r="I19" s="7" t="inlineStr">
        <is>
          <t>все</t>
        </is>
      </c>
      <c r="J19" s="7" t="inlineStr">
        <is>
          <t>C7; panel.json length_m</t>
        </is>
      </c>
      <c r="K19" s="7" t="inlineStr">
        <is>
          <t>Ремонт</t>
        </is>
      </c>
      <c r="L19" s="7" t="inlineStr">
        <is>
          <t>Э04</t>
        </is>
      </c>
      <c r="M19" s="7" t="inlineStr">
        <is>
          <t>Σ 13.2 м × 1,15</t>
        </is>
      </c>
    </row>
    <row r="20">
      <c r="A20" s="7" t="n">
        <v>16</v>
      </c>
      <c r="B20" s="7" t="inlineStr">
        <is>
          <t>Труба гофрированная ПВХ нг Ø20 с зондом (по потолку, D15)</t>
        </is>
      </c>
      <c r="C20" s="7" t="inlineStr">
        <is>
          <t>DKC / Ruvinil</t>
        </is>
      </c>
      <c r="D20" s="7" t="inlineStr">
        <is>
          <t>DKC</t>
        </is>
      </c>
      <c r="E20" s="8" t="n">
        <v>700</v>
      </c>
      <c r="F20" s="7" t="inlineStr">
        <is>
          <t>м</t>
        </is>
      </c>
      <c r="G20" s="9" t="n">
        <v>28</v>
      </c>
      <c r="H20" s="9">
        <f>E20*G20</f>
        <v/>
      </c>
      <c r="I20" s="7" t="inlineStr">
        <is>
          <t>все</t>
        </is>
      </c>
      <c r="J20" s="7" t="inlineStr">
        <is>
          <t>panel.json Σ length_m × 1,15</t>
        </is>
      </c>
      <c r="K20" s="7" t="inlineStr">
        <is>
          <t>Ремонт</t>
        </is>
      </c>
      <c r="L20" s="7" t="inlineStr">
        <is>
          <t>Э04</t>
        </is>
      </c>
      <c r="M20" s="7" t="inlineStr"/>
    </row>
    <row r="21">
      <c r="A21" s="7" t="n">
        <v>17</v>
      </c>
      <c r="B21" s="7" t="inlineStr">
        <is>
          <t>Провод ПуГВ 1×4 + коробки КУП (ДУП ванной и постирочной)</t>
        </is>
      </c>
      <c r="C21" s="7" t="inlineStr">
        <is>
          <t>—</t>
        </is>
      </c>
      <c r="D21" s="7" t="inlineStr">
        <is>
          <t>—</t>
        </is>
      </c>
      <c r="E21" s="8" t="n">
        <v>2</v>
      </c>
      <c r="F21" s="7" t="inlineStr">
        <is>
          <t>компл</t>
        </is>
      </c>
      <c r="G21" s="9" t="n">
        <v>1800</v>
      </c>
      <c r="H21" s="9">
        <f>E21*G21</f>
        <v/>
      </c>
      <c r="I21" s="7" t="inlineStr">
        <is>
          <t>R5, R6</t>
        </is>
      </c>
      <c r="J21" s="7" t="inlineStr">
        <is>
          <t>panel.json rcd_policy (ДУП)</t>
        </is>
      </c>
      <c r="K21" s="7" t="inlineStr">
        <is>
          <t>Ремонт</t>
        </is>
      </c>
      <c r="L21" s="7" t="inlineStr">
        <is>
          <t>Э04</t>
        </is>
      </c>
      <c r="M21" s="7" t="inlineStr"/>
    </row>
    <row r="22">
      <c r="A22" s="7" t="n">
        <v>18</v>
      </c>
      <c r="B22" s="7" t="inlineStr">
        <is>
          <t>Крепёж кабеля: клипсы, дюбель-хомуты, распаечные коробки (доступные), клеммы Wago</t>
        </is>
      </c>
      <c r="C22" s="7" t="inlineStr">
        <is>
          <t>—</t>
        </is>
      </c>
      <c r="D22" s="7" t="inlineStr">
        <is>
          <t>DKC / Wago</t>
        </is>
      </c>
      <c r="E22" s="8" t="n">
        <v>1</v>
      </c>
      <c r="F22" s="7" t="inlineStr">
        <is>
          <t>компл</t>
        </is>
      </c>
      <c r="G22" s="9" t="n">
        <v>9000</v>
      </c>
      <c r="H22" s="9">
        <f>E22*G22</f>
        <v/>
      </c>
      <c r="I22" s="7" t="inlineStr">
        <is>
          <t>все</t>
        </is>
      </c>
      <c r="J22" s="7" t="inlineStr">
        <is>
          <t>23 групп</t>
        </is>
      </c>
      <c r="K22" s="7" t="inlineStr">
        <is>
          <t>Ремонт</t>
        </is>
      </c>
      <c r="L22" s="7" t="inlineStr">
        <is>
          <t>Э04</t>
        </is>
      </c>
      <c r="M22" s="7" t="inlineStr"/>
    </row>
    <row r="24">
      <c r="B24" s="5" t="inlineStr">
        <is>
          <t>Итого по спецификации</t>
        </is>
      </c>
      <c r="H24" s="10">
        <f>SUM(H5:H22)</f>
        <v/>
      </c>
    </row>
    <row r="25">
      <c r="B25" s="5" t="inlineStr">
        <is>
          <t>в т.ч. «Ремонт»</t>
        </is>
      </c>
      <c r="H25" s="10">
        <f>SUMIF(K5:K22,"Ремонт",H5:H22)</f>
        <v/>
      </c>
    </row>
    <row r="26">
      <c r="B26" s="5" t="inlineStr">
        <is>
          <t>в т.ч. «Мебель+техника»</t>
        </is>
      </c>
      <c r="H26" s="10">
        <f>SUMIF(K5:K22,"Мебель+техника",H5:H22)</f>
        <v/>
      </c>
    </row>
  </sheetData>
  <mergeCells count="1"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СП-04. Сантехника, мебель ванной и ВК-материалы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Ванна 1700×750 акрил усиленный/кварил, ножки, экран — облицовка плиткой с ревизией H6</t>
        </is>
      </c>
      <c r="C5" s="7" t="inlineStr">
        <is>
          <t>Riho / Ravak / Am.Pm</t>
        </is>
      </c>
      <c r="D5" s="7" t="inlineStr">
        <is>
          <t>Riho / Ravak</t>
        </is>
      </c>
      <c r="E5" s="8" t="n">
        <v>1</v>
      </c>
      <c r="F5" s="7" t="inlineStr">
        <is>
          <t>шт</t>
        </is>
      </c>
      <c r="G5" s="9" t="n">
        <v>42000</v>
      </c>
      <c r="H5" s="9">
        <f>E5*G5</f>
        <v/>
      </c>
      <c r="I5" s="7" t="inlineStr">
        <is>
          <t>R5</t>
        </is>
      </c>
      <c r="J5" s="7" t="inlineStr">
        <is>
          <t>F66; P03; M24</t>
        </is>
      </c>
      <c r="K5" s="7" t="inlineStr">
        <is>
          <t>Ремонт</t>
        </is>
      </c>
      <c r="L5" s="7" t="inlineStr">
        <is>
          <t>Э13</t>
        </is>
      </c>
      <c r="M5" s="7" t="inlineStr"/>
    </row>
    <row r="6">
      <c r="A6" s="7" t="n">
        <v>2</v>
      </c>
      <c r="B6" s="7" t="inlineStr">
        <is>
          <t>Сифон-автомат ванны с переливом (выпуск у правого торца)</t>
        </is>
      </c>
      <c r="C6" s="7" t="inlineStr">
        <is>
          <t>Viega Simplex / Alcaplast</t>
        </is>
      </c>
      <c r="D6" s="7" t="inlineStr">
        <is>
          <t>Viega / Alcaplast</t>
        </is>
      </c>
      <c r="E6" s="8" t="n">
        <v>1</v>
      </c>
      <c r="F6" s="7" t="inlineStr">
        <is>
          <t>шт</t>
        </is>
      </c>
      <c r="G6" s="9" t="n">
        <v>6500</v>
      </c>
      <c r="H6" s="9">
        <f>E6*G6</f>
        <v/>
      </c>
      <c r="I6" s="7" t="inlineStr">
        <is>
          <t>R5</t>
        </is>
      </c>
      <c r="J6" s="7" t="inlineStr">
        <is>
          <t>P03; S2</t>
        </is>
      </c>
      <c r="K6" s="7" t="inlineStr">
        <is>
          <t>Ремонт</t>
        </is>
      </c>
      <c r="L6" s="7" t="inlineStr">
        <is>
          <t>Э13</t>
        </is>
      </c>
      <c r="M6" s="7" t="inlineStr"/>
    </row>
    <row r="7">
      <c r="A7" s="7" t="n">
        <v>3</v>
      </c>
      <c r="B7" s="7" t="inlineStr">
        <is>
          <t>Смеситель для ванны настенный, латунь браш C8</t>
        </is>
      </c>
      <c r="C7" s="7" t="inlineStr">
        <is>
          <t>WasserKRAFT / Lemark</t>
        </is>
      </c>
      <c r="D7" s="7" t="inlineStr">
        <is>
          <t>WasserKRAFT</t>
        </is>
      </c>
      <c r="E7" s="8" t="n">
        <v>1</v>
      </c>
      <c r="F7" s="7" t="inlineStr">
        <is>
          <t>шт</t>
        </is>
      </c>
      <c r="G7" s="9" t="n">
        <v>18000</v>
      </c>
      <c r="H7" s="9">
        <f>E7*G7</f>
        <v/>
      </c>
      <c r="I7" s="7" t="inlineStr">
        <is>
          <t>R5</t>
        </is>
      </c>
      <c r="J7" s="7" t="inlineStr">
        <is>
          <t>P03; WB4</t>
        </is>
      </c>
      <c r="K7" s="7" t="inlineStr">
        <is>
          <t>Ремонт</t>
        </is>
      </c>
      <c r="L7" s="7" t="inlineStr">
        <is>
          <t>Э13</t>
        </is>
      </c>
      <c r="M7" s="7" t="inlineStr"/>
    </row>
    <row r="8">
      <c r="A8" s="7" t="n">
        <v>4</v>
      </c>
      <c r="B8" s="7" t="inlineStr">
        <is>
          <t>Термостат скрытого монтажа на 2 потребителя (встраиваемая часть + лицевая панель), латунь браш</t>
        </is>
      </c>
      <c r="C8" s="7" t="inlineStr">
        <is>
          <t>WasserKRAFT / Lemark / Grohe</t>
        </is>
      </c>
      <c r="D8" s="7" t="inlineStr">
        <is>
          <t>WasserKRAFT</t>
        </is>
      </c>
      <c r="E8" s="8" t="n">
        <v>1</v>
      </c>
      <c r="F8" s="7" t="inlineStr">
        <is>
          <t>компл</t>
        </is>
      </c>
      <c r="G8" s="9" t="n">
        <v>38000</v>
      </c>
      <c r="H8" s="9">
        <f>E8*G8</f>
        <v/>
      </c>
      <c r="I8" s="7" t="inlineStr">
        <is>
          <t>R5</t>
        </is>
      </c>
      <c r="J8" s="7" t="inlineStr">
        <is>
          <t>P04; WB3; D23</t>
        </is>
      </c>
      <c r="K8" s="7" t="inlineStr">
        <is>
          <t>Ремонт</t>
        </is>
      </c>
      <c r="L8" s="7" t="inlineStr">
        <is>
          <t>Э05</t>
        </is>
      </c>
      <c r="M8" s="7" t="inlineStr"/>
    </row>
    <row r="9">
      <c r="A9" s="7" t="n">
        <v>5</v>
      </c>
      <c r="B9" s="7" t="inlineStr">
        <is>
          <t>Верхний душ 250 + кронштейн, ручной душ со шлангом и подключением, латунь браш</t>
        </is>
      </c>
      <c r="C9" s="7" t="inlineStr">
        <is>
          <t>WasserKRAFT / Lemark</t>
        </is>
      </c>
      <c r="D9" s="7" t="inlineStr">
        <is>
          <t>WasserKRAFT</t>
        </is>
      </c>
      <c r="E9" s="8" t="n">
        <v>1</v>
      </c>
      <c r="F9" s="7" t="inlineStr">
        <is>
          <t>компл</t>
        </is>
      </c>
      <c r="G9" s="9" t="n">
        <v>20000</v>
      </c>
      <c r="H9" s="9">
        <f>E9*G9</f>
        <v/>
      </c>
      <c r="I9" s="7" t="inlineStr">
        <is>
          <t>R5</t>
        </is>
      </c>
      <c r="J9" s="7" t="inlineStr">
        <is>
          <t>P04</t>
        </is>
      </c>
      <c r="K9" s="7" t="inlineStr">
        <is>
          <t>Ремонт</t>
        </is>
      </c>
      <c r="L9" s="7" t="inlineStr">
        <is>
          <t>Э13</t>
        </is>
      </c>
      <c r="M9" s="7" t="inlineStr"/>
    </row>
    <row r="10">
      <c r="A10" s="7" t="n">
        <v>6</v>
      </c>
      <c r="B10" s="7" t="inlineStr">
        <is>
          <t>Трап линейный низкий 800, h ≤ 70, под плитку, с гидрозатвором и фланцем ГИ</t>
        </is>
      </c>
      <c r="C10" s="7" t="inlineStr">
        <is>
          <t>Pestan Confluo / Alcaplast Low</t>
        </is>
      </c>
      <c r="D10" s="7" t="inlineStr">
        <is>
          <t>Pestan / Alcaplast</t>
        </is>
      </c>
      <c r="E10" s="8" t="n">
        <v>1</v>
      </c>
      <c r="F10" s="7" t="inlineStr">
        <is>
          <t>шт</t>
        </is>
      </c>
      <c r="G10" s="9" t="n">
        <v>16000</v>
      </c>
      <c r="H10" s="9">
        <f>E10*G10</f>
        <v/>
      </c>
      <c r="I10" s="7" t="inlineStr">
        <is>
          <t>R5</t>
        </is>
      </c>
      <c r="J10" s="7" t="inlineStr">
        <is>
          <t>F67; P04; S1; узел 7; D18</t>
        </is>
      </c>
      <c r="K10" s="7" t="inlineStr">
        <is>
          <t>Ремонт</t>
        </is>
      </c>
      <c r="L10" s="7" t="inlineStr">
        <is>
          <t>Э05</t>
        </is>
      </c>
      <c r="M10" s="7" t="inlineStr"/>
    </row>
    <row r="11">
      <c r="A11" s="7" t="n">
        <v>7</v>
      </c>
      <c r="B11" s="7" t="inlineStr">
        <is>
          <t>Стекло душа фиксированное 315×2000, 8 мм, профиль на клею, стабилизатор к потолку (латунь)</t>
        </is>
      </c>
      <c r="C11" s="7" t="inlineStr">
        <is>
          <t>по замеру</t>
        </is>
      </c>
      <c r="D11" s="7" t="inlineStr">
        <is>
          <t>стекольная мастерская СПб</t>
        </is>
      </c>
      <c r="E11" s="8" t="n">
        <v>1</v>
      </c>
      <c r="F11" s="7" t="inlineStr">
        <is>
          <t>компл</t>
        </is>
      </c>
      <c r="G11" s="9" t="n">
        <v>22000</v>
      </c>
      <c r="H11" s="9">
        <f>E11*G11</f>
        <v/>
      </c>
      <c r="I11" s="7" t="inlineStr">
        <is>
          <t>R5</t>
        </is>
      </c>
      <c r="J11" s="7" t="inlineStr">
        <is>
          <t>F68</t>
        </is>
      </c>
      <c r="K11" s="7" t="inlineStr">
        <is>
          <t>Ремонт</t>
        </is>
      </c>
      <c r="L11" s="7" t="inlineStr">
        <is>
          <t>Э13</t>
        </is>
      </c>
      <c r="M11" s="7" t="inlineStr"/>
    </row>
    <row r="12">
      <c r="A12" s="7" t="n">
        <v>8</v>
      </c>
      <c r="B12" s="7" t="inlineStr">
        <is>
          <t>Инсталляция для подвесного унитаза (рама к стене, D3)</t>
        </is>
      </c>
      <c r="C12" s="7" t="inlineStr">
        <is>
          <t>Geberit Duofix / Grohe Rapid SL</t>
        </is>
      </c>
      <c r="D12" s="7" t="inlineStr">
        <is>
          <t>Geberit</t>
        </is>
      </c>
      <c r="E12" s="8" t="n">
        <v>1</v>
      </c>
      <c r="F12" s="7" t="inlineStr">
        <is>
          <t>шт</t>
        </is>
      </c>
      <c r="G12" s="9" t="n">
        <v>28000</v>
      </c>
      <c r="H12" s="9">
        <f>E12*G12</f>
        <v/>
      </c>
      <c r="I12" s="7" t="inlineStr">
        <is>
          <t>R5</t>
        </is>
      </c>
      <c r="J12" s="7" t="inlineStr">
        <is>
          <t>F69; P01</t>
        </is>
      </c>
      <c r="K12" s="7" t="inlineStr">
        <is>
          <t>Ремонт</t>
        </is>
      </c>
      <c r="L12" s="7" t="inlineStr">
        <is>
          <t>Э05</t>
        </is>
      </c>
      <c r="M12" s="7" t="inlineStr"/>
    </row>
    <row r="13">
      <c r="A13" s="7" t="n">
        <v>9</v>
      </c>
      <c r="B13" s="7" t="inlineStr">
        <is>
          <t>Кнопка смыва, латунь браш</t>
        </is>
      </c>
      <c r="C13" s="7" t="inlineStr">
        <is>
          <t>Geberit Sigma / Grohe</t>
        </is>
      </c>
      <c r="D13" s="7" t="inlineStr">
        <is>
          <t>Geberit</t>
        </is>
      </c>
      <c r="E13" s="8" t="n">
        <v>1</v>
      </c>
      <c r="F13" s="7" t="inlineStr">
        <is>
          <t>шт</t>
        </is>
      </c>
      <c r="G13" s="9" t="n">
        <v>7000</v>
      </c>
      <c r="H13" s="9">
        <f>E13*G13</f>
        <v/>
      </c>
      <c r="I13" s="7" t="inlineStr">
        <is>
          <t>R5</t>
        </is>
      </c>
      <c r="J13" s="7" t="inlineStr">
        <is>
          <t>F69; P01</t>
        </is>
      </c>
      <c r="K13" s="7" t="inlineStr">
        <is>
          <t>Ремонт</t>
        </is>
      </c>
      <c r="L13" s="7" t="inlineStr">
        <is>
          <t>Э13</t>
        </is>
      </c>
      <c r="M13" s="7" t="inlineStr"/>
    </row>
    <row r="14">
      <c r="A14" s="7" t="n">
        <v>10</v>
      </c>
      <c r="B14" s="7" t="inlineStr">
        <is>
          <t>Унитаз подвесной безободковый + сиденье микролифт</t>
        </is>
      </c>
      <c r="C14" s="7" t="inlineStr">
        <is>
          <t>Jacob Delafon / Laufen Pro</t>
        </is>
      </c>
      <c r="D14" s="7" t="inlineStr">
        <is>
          <t>Laufen / Jacob Delafon</t>
        </is>
      </c>
      <c r="E14" s="8" t="n">
        <v>1</v>
      </c>
      <c r="F14" s="7" t="inlineStr">
        <is>
          <t>шт</t>
        </is>
      </c>
      <c r="G14" s="9" t="n">
        <v>28000</v>
      </c>
      <c r="H14" s="9">
        <f>E14*G14</f>
        <v/>
      </c>
      <c r="I14" s="7" t="inlineStr">
        <is>
          <t>R5</t>
        </is>
      </c>
      <c r="J14" s="7" t="inlineStr">
        <is>
          <t>F70; P01</t>
        </is>
      </c>
      <c r="K14" s="7" t="inlineStr">
        <is>
          <t>Ремонт</t>
        </is>
      </c>
      <c r="L14" s="7" t="inlineStr">
        <is>
          <t>Э13</t>
        </is>
      </c>
      <c r="M14" s="7" t="inlineStr"/>
    </row>
    <row r="15">
      <c r="A15" s="7" t="n">
        <v>11</v>
      </c>
      <c r="B15" s="7" t="inlineStr">
        <is>
          <t>Тумба подвесная 900×480, 2 ящика, шалфей C4, столешница 12 мм + раковина</t>
        </is>
      </c>
      <c r="C15" s="7" t="inlineStr">
        <is>
          <t>Aqwella / Opadiris</t>
        </is>
      </c>
      <c r="D15" s="7" t="inlineStr">
        <is>
          <t>Aqwella / Opadiris</t>
        </is>
      </c>
      <c r="E15" s="8" t="n">
        <v>1</v>
      </c>
      <c r="F15" s="7" t="inlineStr">
        <is>
          <t>компл</t>
        </is>
      </c>
      <c r="G15" s="9" t="n">
        <v>42000</v>
      </c>
      <c r="H15" s="9">
        <f>E15*G15</f>
        <v/>
      </c>
      <c r="I15" s="7" t="inlineStr">
        <is>
          <t>R5</t>
        </is>
      </c>
      <c r="J15" s="7" t="inlineStr">
        <is>
          <t>F71; P02; M23</t>
        </is>
      </c>
      <c r="K15" s="7" t="inlineStr">
        <is>
          <t>Ремонт</t>
        </is>
      </c>
      <c r="L15" s="7" t="inlineStr">
        <is>
          <t>Э13</t>
        </is>
      </c>
      <c r="M15" s="7" t="inlineStr"/>
    </row>
    <row r="16">
      <c r="A16" s="7" t="n">
        <v>12</v>
      </c>
      <c r="B16" s="7" t="inlineStr">
        <is>
          <t>Зеркальный шкаф 900×750×150 с LED и розеткой</t>
        </is>
      </c>
      <c r="C16" s="7" t="inlineStr">
        <is>
          <t>Aqwella / Opadiris</t>
        </is>
      </c>
      <c r="D16" s="7" t="inlineStr">
        <is>
          <t>Aqwella</t>
        </is>
      </c>
      <c r="E16" s="8" t="n">
        <v>1</v>
      </c>
      <c r="F16" s="7" t="inlineStr">
        <is>
          <t>шт</t>
        </is>
      </c>
      <c r="G16" s="9" t="n">
        <v>24000</v>
      </c>
      <c r="H16" s="9">
        <f>E16*G16</f>
        <v/>
      </c>
      <c r="I16" s="7" t="inlineStr">
        <is>
          <t>R5</t>
        </is>
      </c>
      <c r="J16" s="7" t="inlineStr">
        <is>
          <t>F72; L20; M23</t>
        </is>
      </c>
      <c r="K16" s="7" t="inlineStr">
        <is>
          <t>Ремонт</t>
        </is>
      </c>
      <c r="L16" s="7" t="inlineStr">
        <is>
          <t>Э13</t>
        </is>
      </c>
      <c r="M16" s="7" t="inlineStr"/>
    </row>
    <row r="17">
      <c r="A17" s="7" t="n">
        <v>13</v>
      </c>
      <c r="B17" s="7" t="inlineStr">
        <is>
          <t>Пенал подвесной 500×350 до +2200</t>
        </is>
      </c>
      <c r="C17" s="7" t="inlineStr">
        <is>
          <t>Aqwella / Opadiris</t>
        </is>
      </c>
      <c r="D17" s="7" t="inlineStr">
        <is>
          <t>Aqwella</t>
        </is>
      </c>
      <c r="E17" s="8" t="n">
        <v>1</v>
      </c>
      <c r="F17" s="7" t="inlineStr">
        <is>
          <t>шт</t>
        </is>
      </c>
      <c r="G17" s="9" t="n">
        <v>18000</v>
      </c>
      <c r="H17" s="9">
        <f>E17*G17</f>
        <v/>
      </c>
      <c r="I17" s="7" t="inlineStr">
        <is>
          <t>R5</t>
        </is>
      </c>
      <c r="J17" s="7" t="inlineStr">
        <is>
          <t>F73; M23</t>
        </is>
      </c>
      <c r="K17" s="7" t="inlineStr">
        <is>
          <t>Ремонт</t>
        </is>
      </c>
      <c r="L17" s="7" t="inlineStr">
        <is>
          <t>Э13</t>
        </is>
      </c>
      <c r="M17" s="7" t="inlineStr"/>
    </row>
    <row r="18">
      <c r="A18" s="7" t="n">
        <v>14</v>
      </c>
      <c r="B18" s="7" t="inlineStr">
        <is>
          <t>Тумба-корзина для белья подвесная 440×350×700</t>
        </is>
      </c>
      <c r="C18" s="7" t="inlineStr">
        <is>
          <t>Aqwella / Opadiris</t>
        </is>
      </c>
      <c r="D18" s="7" t="inlineStr">
        <is>
          <t>Aqwella</t>
        </is>
      </c>
      <c r="E18" s="8" t="n">
        <v>1</v>
      </c>
      <c r="F18" s="7" t="inlineStr">
        <is>
          <t>шт</t>
        </is>
      </c>
      <c r="G18" s="9" t="n">
        <v>12000</v>
      </c>
      <c r="H18" s="9">
        <f>E18*G18</f>
        <v/>
      </c>
      <c r="I18" s="7" t="inlineStr">
        <is>
          <t>R5</t>
        </is>
      </c>
      <c r="J18" s="7" t="inlineStr">
        <is>
          <t>F74; M23</t>
        </is>
      </c>
      <c r="K18" s="7" t="inlineStr">
        <is>
          <t>Ремонт</t>
        </is>
      </c>
      <c r="L18" s="7" t="inlineStr">
        <is>
          <t>Э13</t>
        </is>
      </c>
      <c r="M18" s="7" t="inlineStr"/>
    </row>
    <row r="19">
      <c r="A19" s="7" t="n">
        <v>15</v>
      </c>
      <c r="B19" s="7" t="inlineStr">
        <is>
          <t>Смеситель для раковины, латунь браш, + донный клапан и сифон</t>
        </is>
      </c>
      <c r="C19" s="7" t="inlineStr">
        <is>
          <t>WasserKRAFT / Lemark</t>
        </is>
      </c>
      <c r="D19" s="7" t="inlineStr">
        <is>
          <t>WasserKRAFT</t>
        </is>
      </c>
      <c r="E19" s="8" t="n">
        <v>1</v>
      </c>
      <c r="F19" s="7" t="inlineStr">
        <is>
          <t>компл</t>
        </is>
      </c>
      <c r="G19" s="9" t="n">
        <v>19000</v>
      </c>
      <c r="H19" s="9">
        <f>E19*G19</f>
        <v/>
      </c>
      <c r="I19" s="7" t="inlineStr">
        <is>
          <t>R5</t>
        </is>
      </c>
      <c r="J19" s="7" t="inlineStr">
        <is>
          <t>P02</t>
        </is>
      </c>
      <c r="K19" s="7" t="inlineStr">
        <is>
          <t>Ремонт</t>
        </is>
      </c>
      <c r="L19" s="7" t="inlineStr">
        <is>
          <t>Э13</t>
        </is>
      </c>
      <c r="M19" s="7" t="inlineStr"/>
    </row>
    <row r="20">
      <c r="A20" s="7" t="n">
        <v>16</v>
      </c>
      <c r="B20" s="7" t="inlineStr">
        <is>
          <t>Полотенцесушитель электрический 400×800, класс II IP44, латунь/бронза</t>
        </is>
      </c>
      <c r="C20" s="7" t="inlineStr">
        <is>
          <t>Сунержа / Terminus</t>
        </is>
      </c>
      <c r="D20" s="7" t="inlineStr">
        <is>
          <t>Сунержа</t>
        </is>
      </c>
      <c r="E20" s="8" t="n">
        <v>1</v>
      </c>
      <c r="F20" s="7" t="inlineStr">
        <is>
          <t>шт</t>
        </is>
      </c>
      <c r="G20" s="9" t="n">
        <v>24000</v>
      </c>
      <c r="H20" s="9">
        <f>E20*G20</f>
        <v/>
      </c>
      <c r="I20" s="7" t="inlineStr">
        <is>
          <t>R5</t>
        </is>
      </c>
      <c r="J20" s="7" t="inlineStr">
        <is>
          <t>F75; P05; P-V03</t>
        </is>
      </c>
      <c r="K20" s="7" t="inlineStr">
        <is>
          <t>Ремонт</t>
        </is>
      </c>
      <c r="L20" s="7" t="inlineStr">
        <is>
          <t>Э13</t>
        </is>
      </c>
      <c r="M20" s="7" t="inlineStr"/>
    </row>
    <row r="21">
      <c r="A21" s="7" t="n">
        <v>17</v>
      </c>
      <c r="B21" s="7" t="inlineStr">
        <is>
          <t>Мойка кухни кварцевая 1 чаша 500×450 + сифон с переливом</t>
        </is>
      </c>
      <c r="C21" s="7" t="inlineStr">
        <is>
          <t>Granfest / Florentina</t>
        </is>
      </c>
      <c r="D21" s="7" t="inlineStr">
        <is>
          <t>Granfest</t>
        </is>
      </c>
      <c r="E21" s="8" t="n">
        <v>1</v>
      </c>
      <c r="F21" s="7" t="inlineStr">
        <is>
          <t>шт</t>
        </is>
      </c>
      <c r="G21" s="9" t="n">
        <v>14000</v>
      </c>
      <c r="H21" s="9">
        <f>E21*G21</f>
        <v/>
      </c>
      <c r="I21" s="7" t="inlineStr">
        <is>
          <t>R3</t>
        </is>
      </c>
      <c r="J21" s="7" t="inlineStr">
        <is>
          <t>F19; P06</t>
        </is>
      </c>
      <c r="K21" s="7" t="inlineStr">
        <is>
          <t>Ремонт</t>
        </is>
      </c>
      <c r="L21" s="7" t="inlineStr">
        <is>
          <t>Э13</t>
        </is>
      </c>
      <c r="M21" s="7" t="inlineStr">
        <is>
          <t>№34: сантехника — бюджет «Ремонт»</t>
        </is>
      </c>
    </row>
    <row r="22">
      <c r="A22" s="7" t="n">
        <v>18</v>
      </c>
      <c r="B22" s="7" t="inlineStr">
        <is>
          <t>Смеситель кухни с краном питьевой воды, латунь браш</t>
        </is>
      </c>
      <c r="C22" s="7" t="inlineStr">
        <is>
          <t>Lemark / WasserKRAFT</t>
        </is>
      </c>
      <c r="D22" s="7" t="inlineStr">
        <is>
          <t>Lemark</t>
        </is>
      </c>
      <c r="E22" s="8" t="n">
        <v>1</v>
      </c>
      <c r="F22" s="7" t="inlineStr">
        <is>
          <t>шт</t>
        </is>
      </c>
      <c r="G22" s="9" t="n">
        <v>15000</v>
      </c>
      <c r="H22" s="9">
        <f>E22*G22</f>
        <v/>
      </c>
      <c r="I22" s="7" t="inlineStr">
        <is>
          <t>R3</t>
        </is>
      </c>
      <c r="J22" s="7" t="inlineStr">
        <is>
          <t>F19; P06</t>
        </is>
      </c>
      <c r="K22" s="7" t="inlineStr">
        <is>
          <t>Ремонт</t>
        </is>
      </c>
      <c r="L22" s="7" t="inlineStr">
        <is>
          <t>Э13</t>
        </is>
      </c>
      <c r="M22" s="7" t="inlineStr"/>
    </row>
    <row r="23">
      <c r="A23" s="7" t="n">
        <v>19</v>
      </c>
      <c r="B23" s="7" t="inlineStr">
        <is>
          <t>Фильтр питьевой 3-ступенчатый под мойкой (без накопителя)</t>
        </is>
      </c>
      <c r="C23" s="7" t="inlineStr">
        <is>
          <t>Аквафор Кристалл / Гейзер</t>
        </is>
      </c>
      <c r="D23" s="7" t="inlineStr">
        <is>
          <t>Аквафор</t>
        </is>
      </c>
      <c r="E23" s="8" t="n">
        <v>1</v>
      </c>
      <c r="F23" s="7" t="inlineStr">
        <is>
          <t>шт</t>
        </is>
      </c>
      <c r="G23" s="9" t="n">
        <v>8500</v>
      </c>
      <c r="H23" s="9">
        <f>E23*G23</f>
        <v/>
      </c>
      <c r="I23" s="7" t="inlineStr">
        <is>
          <t>R3</t>
        </is>
      </c>
      <c r="J23" s="7" t="inlineStr">
        <is>
          <t>F20; P08</t>
        </is>
      </c>
      <c r="K23" s="7" t="inlineStr">
        <is>
          <t>Ремонт</t>
        </is>
      </c>
      <c r="L23" s="7" t="inlineStr">
        <is>
          <t>Э13</t>
        </is>
      </c>
      <c r="M23" s="7" t="inlineStr"/>
    </row>
    <row r="24">
      <c r="A24" s="7" t="n">
        <v>20</v>
      </c>
      <c r="B24" s="7" t="inlineStr">
        <is>
          <t>Хозмойка накладная 450 + смеситель + сифон с отводом СМА</t>
        </is>
      </c>
      <c r="C24" s="7" t="inlineStr">
        <is>
          <t>керамика/нерж.</t>
        </is>
      </c>
      <c r="D24" s="7" t="inlineStr">
        <is>
          <t>Granfest / Lemark</t>
        </is>
      </c>
      <c r="E24" s="8" t="n">
        <v>1</v>
      </c>
      <c r="F24" s="7" t="inlineStr">
        <is>
          <t>компл</t>
        </is>
      </c>
      <c r="G24" s="9" t="n">
        <v>16000</v>
      </c>
      <c r="H24" s="9">
        <f>E24*G24</f>
        <v/>
      </c>
      <c r="I24" s="7" t="inlineStr">
        <is>
          <t>R6</t>
        </is>
      </c>
      <c r="J24" s="7" t="inlineStr">
        <is>
          <t>F78; P09; S6</t>
        </is>
      </c>
      <c r="K24" s="7" t="inlineStr">
        <is>
          <t>Ремонт</t>
        </is>
      </c>
      <c r="L24" s="7" t="inlineStr">
        <is>
          <t>Э13</t>
        </is>
      </c>
      <c r="M24" s="7" t="inlineStr"/>
    </row>
    <row r="25">
      <c r="A25" s="7" t="n">
        <v>21</v>
      </c>
      <c r="B25" s="7" t="inlineStr">
        <is>
          <t>Кран шаровой ¾″ для СМА + сифон/отвод слива СМА и конденсата СМ</t>
        </is>
      </c>
      <c r="C25" s="7" t="inlineStr">
        <is>
          <t>Valtec / Itap</t>
        </is>
      </c>
      <c r="D25" s="7" t="inlineStr">
        <is>
          <t>Valtec</t>
        </is>
      </c>
      <c r="E25" s="8" t="n">
        <v>1</v>
      </c>
      <c r="F25" s="7" t="inlineStr">
        <is>
          <t>компл</t>
        </is>
      </c>
      <c r="G25" s="9" t="n">
        <v>2500</v>
      </c>
      <c r="H25" s="9">
        <f>E25*G25</f>
        <v/>
      </c>
      <c r="I25" s="7" t="inlineStr">
        <is>
          <t>R6</t>
        </is>
      </c>
      <c r="J25" s="7" t="inlineStr">
        <is>
          <t>P10, P11; WL2; S7</t>
        </is>
      </c>
      <c r="K25" s="7" t="inlineStr">
        <is>
          <t>Ремонт</t>
        </is>
      </c>
      <c r="L25" s="7" t="inlineStr">
        <is>
          <t>Э05</t>
        </is>
      </c>
      <c r="M25" s="7" t="inlineStr"/>
    </row>
    <row r="26">
      <c r="A26" s="7" t="n">
        <v>22</v>
      </c>
      <c r="B26" s="7" t="inlineStr">
        <is>
          <t>Кран шаровой квартирный ½″–¾″ (ХВС, ГВС)</t>
        </is>
      </c>
      <c r="C26" s="7" t="inlineStr">
        <is>
          <t>Itap Ideal / Valtec Base</t>
        </is>
      </c>
      <c r="D26" s="7" t="inlineStr">
        <is>
          <t>Itap</t>
        </is>
      </c>
      <c r="E26" s="8" t="n">
        <v>4</v>
      </c>
      <c r="F26" s="7" t="inlineStr">
        <is>
          <t>шт</t>
        </is>
      </c>
      <c r="G26" s="9" t="n">
        <v>1200</v>
      </c>
      <c r="H26" s="9">
        <f>E26*G26</f>
        <v/>
      </c>
      <c r="I26" s="7" t="inlineStr">
        <is>
          <t>R5, R6</t>
        </is>
      </c>
      <c r="J26" s="7" t="inlineStr">
        <is>
          <t>N1, N2 chain</t>
        </is>
      </c>
      <c r="K26" s="7" t="inlineStr">
        <is>
          <t>Ремонт</t>
        </is>
      </c>
      <c r="L26" s="7" t="inlineStr">
        <is>
          <t>Э05</t>
        </is>
      </c>
      <c r="M26" s="7" t="inlineStr"/>
    </row>
    <row r="27">
      <c r="A27" s="7" t="n">
        <v>23</v>
      </c>
      <c r="B27" s="7" t="inlineStr">
        <is>
          <t>Фильтр-редуктор комбинированный 100 мкм с манометром, 3,0 бар</t>
        </is>
      </c>
      <c r="C27" s="7" t="inlineStr">
        <is>
          <t>Honeywell FK06-класс / Valtec</t>
        </is>
      </c>
      <c r="D27" s="7" t="inlineStr">
        <is>
          <t>Valtec / Honeywell</t>
        </is>
      </c>
      <c r="E27" s="8" t="n">
        <v>4</v>
      </c>
      <c r="F27" s="7" t="inlineStr">
        <is>
          <t>шт</t>
        </is>
      </c>
      <c r="G27" s="9" t="n">
        <v>5500</v>
      </c>
      <c r="H27" s="9">
        <f>E27*G27</f>
        <v/>
      </c>
      <c r="I27" s="7" t="inlineStr">
        <is>
          <t>R5, R6</t>
        </is>
      </c>
      <c r="J27" s="7" t="inlineStr">
        <is>
          <t>N1, N2 chain; summary.filter</t>
        </is>
      </c>
      <c r="K27" s="7" t="inlineStr">
        <is>
          <t>Ремонт</t>
        </is>
      </c>
      <c r="L27" s="7" t="inlineStr">
        <is>
          <t>Э05</t>
        </is>
      </c>
      <c r="M27" s="7" t="inlineStr"/>
    </row>
    <row r="28">
      <c r="A28" s="7" t="n">
        <v>24</v>
      </c>
      <c r="B28" s="7" t="inlineStr">
        <is>
          <t>Обратный клапан ½″–¾″</t>
        </is>
      </c>
      <c r="C28" s="7" t="inlineStr">
        <is>
          <t>Valtec</t>
        </is>
      </c>
      <c r="D28" s="7" t="inlineStr">
        <is>
          <t>Valtec</t>
        </is>
      </c>
      <c r="E28" s="8" t="n">
        <v>4</v>
      </c>
      <c r="F28" s="7" t="inlineStr">
        <is>
          <t>шт</t>
        </is>
      </c>
      <c r="G28" s="9" t="n">
        <v>700</v>
      </c>
      <c r="H28" s="9">
        <f>E28*G28</f>
        <v/>
      </c>
      <c r="I28" s="7" t="inlineStr">
        <is>
          <t>R5, R6</t>
        </is>
      </c>
      <c r="J28" s="7" t="inlineStr">
        <is>
          <t>N1, N2 chain</t>
        </is>
      </c>
      <c r="K28" s="7" t="inlineStr">
        <is>
          <t>Ремонт</t>
        </is>
      </c>
      <c r="L28" s="7" t="inlineStr">
        <is>
          <t>Э05</t>
        </is>
      </c>
      <c r="M28" s="7" t="inlineStr"/>
    </row>
    <row r="29">
      <c r="A29" s="7" t="n">
        <v>25</v>
      </c>
      <c r="B29" s="7" t="inlineStr">
        <is>
          <t>Счётчик ИПУ Ду15 с импульсным выходом (если не установлены застройщиком)</t>
        </is>
      </c>
      <c r="C29" s="7" t="inlineStr">
        <is>
          <t>Пульс / Декаст</t>
        </is>
      </c>
      <c r="D29" s="7" t="inlineStr">
        <is>
          <t>Пульс</t>
        </is>
      </c>
      <c r="E29" s="8" t="n">
        <v>4</v>
      </c>
      <c r="F29" s="7" t="inlineStr">
        <is>
          <t>шт</t>
        </is>
      </c>
      <c r="G29" s="9" t="n">
        <v>2300</v>
      </c>
      <c r="H29" s="9">
        <f>E29*G29</f>
        <v/>
      </c>
      <c r="I29" s="7" t="inlineStr">
        <is>
          <t>R5, R6</t>
        </is>
      </c>
      <c r="J29" s="7" t="inlineStr">
        <is>
          <t>N1, N2 chain</t>
        </is>
      </c>
      <c r="K29" s="7" t="inlineStr">
        <is>
          <t>Ремонт</t>
        </is>
      </c>
      <c r="L29" s="7" t="inlineStr">
        <is>
          <t>Э05</t>
        </is>
      </c>
      <c r="M29" s="7" t="inlineStr">
        <is>
          <t>[ДОПУЩЕНИЕ] уточнить наличие у застройщика</t>
        </is>
      </c>
    </row>
    <row r="30">
      <c r="A30" s="7" t="n">
        <v>26</v>
      </c>
      <c r="B30" s="7" t="inlineStr">
        <is>
          <t>Коллектор ¾″ (гребёнка) ХВС/ГВС — корпус</t>
        </is>
      </c>
      <c r="C30" s="7" t="inlineStr">
        <is>
          <t>Valtec VTc.580</t>
        </is>
      </c>
      <c r="D30" s="7" t="inlineStr">
        <is>
          <t>Valtec</t>
        </is>
      </c>
      <c r="E30" s="8" t="n">
        <v>4</v>
      </c>
      <c r="F30" s="7" t="inlineStr">
        <is>
          <t>шт</t>
        </is>
      </c>
      <c r="G30" s="9" t="n">
        <v>2400</v>
      </c>
      <c r="H30" s="9">
        <f>E30*G30</f>
        <v/>
      </c>
      <c r="I30" s="7" t="inlineStr">
        <is>
          <t>R5, R6</t>
        </is>
      </c>
      <c r="J30" s="7" t="inlineStr">
        <is>
          <t>N1, N2 chain (коллекторы)</t>
        </is>
      </c>
      <c r="K30" s="7" t="inlineStr">
        <is>
          <t>Ремонт</t>
        </is>
      </c>
      <c r="L30" s="7" t="inlineStr">
        <is>
          <t>Э05</t>
        </is>
      </c>
      <c r="M30" s="7" t="inlineStr"/>
    </row>
    <row r="31">
      <c r="A31" s="7" t="n">
        <v>27</v>
      </c>
      <c r="B31" s="7" t="inlineStr">
        <is>
          <t>Выход коллектора с шаровым краном ½″ / евроконус</t>
        </is>
      </c>
      <c r="C31" s="7" t="inlineStr">
        <is>
          <t>Valtec</t>
        </is>
      </c>
      <c r="D31" s="7" t="inlineStr">
        <is>
          <t>Valtec</t>
        </is>
      </c>
      <c r="E31" s="8" t="n">
        <v>13</v>
      </c>
      <c r="F31" s="7" t="inlineStr">
        <is>
          <t>шт</t>
        </is>
      </c>
      <c r="G31" s="9" t="n">
        <v>750</v>
      </c>
      <c r="H31" s="9">
        <f>E31*G31</f>
        <v/>
      </c>
      <c r="I31" s="7" t="inlineStr">
        <is>
          <t>R5, R6</t>
        </is>
      </c>
      <c r="J31" s="7" t="inlineStr">
        <is>
          <t>N1, N2: выходы ХВС/ГВС</t>
        </is>
      </c>
      <c r="K31" s="7" t="inlineStr">
        <is>
          <t>Ремонт</t>
        </is>
      </c>
      <c r="L31" s="7" t="inlineStr">
        <is>
          <t>Э05</t>
        </is>
      </c>
      <c r="M31" s="7" t="inlineStr"/>
    </row>
    <row r="32">
      <c r="A32" s="7" t="n">
        <v>28</v>
      </c>
      <c r="B32" s="7" t="inlineStr">
        <is>
          <t>Труба PEX-a 16×2,2 (цельные отрезки, без соединений в подиуме/облицовке)</t>
        </is>
      </c>
      <c r="C32" s="7" t="inlineStr">
        <is>
          <t>Rehau Rautitan / Valtec PEX-a</t>
        </is>
      </c>
      <c r="D32" s="7" t="inlineStr">
        <is>
          <t>Rehau</t>
        </is>
      </c>
      <c r="E32" s="8" t="n">
        <v>21</v>
      </c>
      <c r="F32" s="7" t="inlineStr">
        <is>
          <t>м</t>
        </is>
      </c>
      <c r="G32" s="9" t="n">
        <v>190</v>
      </c>
      <c r="H32" s="9">
        <f>E32*G32</f>
        <v/>
      </c>
      <c r="I32" s="7" t="inlineStr">
        <is>
          <t>R3, R5, R6</t>
        </is>
      </c>
      <c r="J32" s="7" t="inlineStr">
        <is>
          <t>plumbing.json pipes.water WB1–WB4, WK1, WL1, WL2</t>
        </is>
      </c>
      <c r="K32" s="7" t="inlineStr">
        <is>
          <t>Ремонт</t>
        </is>
      </c>
      <c r="L32" s="7" t="inlineStr">
        <is>
          <t>Э05</t>
        </is>
      </c>
      <c r="M32" s="7" t="inlineStr">
        <is>
          <t>Σ трасс × линии = 18.26 м × 1,15</t>
        </is>
      </c>
    </row>
    <row r="33">
      <c r="A33" s="7" t="n">
        <v>29</v>
      </c>
      <c r="B33" s="7" t="inlineStr">
        <is>
          <t>Теплоизоляция 9 мм (ГВС) / 6 мм антиконденсатная (ХВС)</t>
        </is>
      </c>
      <c r="C33" s="7" t="inlineStr">
        <is>
          <t>Energoflex / K-Flex</t>
        </is>
      </c>
      <c r="D33" s="7" t="inlineStr">
        <is>
          <t>Energoflex</t>
        </is>
      </c>
      <c r="E33" s="8" t="n">
        <v>21</v>
      </c>
      <c r="F33" s="7" t="inlineStr">
        <is>
          <t>м</t>
        </is>
      </c>
      <c r="G33" s="9" t="n">
        <v>60</v>
      </c>
      <c r="H33" s="9">
        <f>E33*G33</f>
        <v/>
      </c>
      <c r="I33" s="7" t="inlineStr">
        <is>
          <t>R3, R5, R6</t>
        </is>
      </c>
      <c r="J33" s="7" t="inlineStr">
        <is>
          <t>pipes.water_material</t>
        </is>
      </c>
      <c r="K33" s="7" t="inlineStr">
        <is>
          <t>Ремонт</t>
        </is>
      </c>
      <c r="L33" s="7" t="inlineStr">
        <is>
          <t>Э05</t>
        </is>
      </c>
      <c r="M33" s="7" t="inlineStr"/>
    </row>
    <row r="34">
      <c r="A34" s="7" t="n">
        <v>30</v>
      </c>
      <c r="B34" s="7" t="inlineStr">
        <is>
          <t>Водорозетка латунная ½″ (выводы к приборам)</t>
        </is>
      </c>
      <c r="C34" s="7" t="inlineStr">
        <is>
          <t>Rehau / Valtec</t>
        </is>
      </c>
      <c r="D34" s="7" t="inlineStr">
        <is>
          <t>Valtec</t>
        </is>
      </c>
      <c r="E34" s="8" t="n">
        <v>12</v>
      </c>
      <c r="F34" s="7" t="inlineStr">
        <is>
          <t>шт</t>
        </is>
      </c>
      <c r="G34" s="9" t="n">
        <v>900</v>
      </c>
      <c r="H34" s="9">
        <f>E34*G34</f>
        <v/>
      </c>
      <c r="I34" s="7" t="inlineStr">
        <is>
          <t>R3, R5, R6</t>
        </is>
      </c>
      <c r="J34" s="7" t="inlineStr">
        <is>
          <t>pipes.water: выводы</t>
        </is>
      </c>
      <c r="K34" s="7" t="inlineStr">
        <is>
          <t>Ремонт</t>
        </is>
      </c>
      <c r="L34" s="7" t="inlineStr">
        <is>
          <t>Э05</t>
        </is>
      </c>
      <c r="M34" s="7" t="inlineStr"/>
    </row>
    <row r="35">
      <c r="A35" s="7" t="n">
        <v>31</v>
      </c>
      <c r="B35" s="7" t="inlineStr">
        <is>
          <t>Фитинги на надвижной гильзе (уголки, тройники, переходники), ≈ 3 на вывод</t>
        </is>
      </c>
      <c r="C35" s="7" t="inlineStr">
        <is>
          <t>Rehau Everloc</t>
        </is>
      </c>
      <c r="D35" s="7" t="inlineStr">
        <is>
          <t>Rehau</t>
        </is>
      </c>
      <c r="E35" s="8" t="n">
        <v>36</v>
      </c>
      <c r="F35" s="7" t="inlineStr">
        <is>
          <t>шт</t>
        </is>
      </c>
      <c r="G35" s="9" t="n">
        <v>450</v>
      </c>
      <c r="H35" s="9">
        <f>E35*G35</f>
        <v/>
      </c>
      <c r="I35" s="7" t="inlineStr">
        <is>
          <t>R3, R5, R6</t>
        </is>
      </c>
      <c r="J35" s="7" t="inlineStr">
        <is>
          <t>pipes.water</t>
        </is>
      </c>
      <c r="K35" s="7" t="inlineStr">
        <is>
          <t>Ремонт</t>
        </is>
      </c>
      <c r="L35" s="7" t="inlineStr">
        <is>
          <t>Э05</t>
        </is>
      </c>
      <c r="M35" s="7" t="inlineStr"/>
    </row>
    <row r="36">
      <c r="A36" s="7" t="n">
        <v>32</v>
      </c>
      <c r="B36" s="7" t="inlineStr">
        <is>
          <t>Труба ПП канализационная Ø50 (малошумная в коробах)</t>
        </is>
      </c>
      <c r="C36" s="7" t="inlineStr">
        <is>
          <t>Ostendorf / Sinikon</t>
        </is>
      </c>
      <c r="D36" s="7" t="inlineStr">
        <is>
          <t>Ostendorf</t>
        </is>
      </c>
      <c r="E36" s="8" t="n">
        <v>8.5</v>
      </c>
      <c r="F36" s="7" t="inlineStr">
        <is>
          <t>м</t>
        </is>
      </c>
      <c r="G36" s="9" t="n">
        <v>260</v>
      </c>
      <c r="H36" s="9">
        <f>E36*G36</f>
        <v/>
      </c>
      <c r="I36" s="7" t="inlineStr">
        <is>
          <t>R3, R5, R6</t>
        </is>
      </c>
      <c r="J36" s="7" t="inlineStr">
        <is>
          <t>sewer S1, S2, S4–S7</t>
        </is>
      </c>
      <c r="K36" s="7" t="inlineStr">
        <is>
          <t>Ремонт</t>
        </is>
      </c>
      <c r="L36" s="7" t="inlineStr">
        <is>
          <t>Э05</t>
        </is>
      </c>
      <c r="M36" s="7" t="inlineStr">
        <is>
          <t>Σ L = 7.37 м × 1,15</t>
        </is>
      </c>
    </row>
    <row r="37">
      <c r="A37" s="7" t="n">
        <v>33</v>
      </c>
      <c r="B37" s="7" t="inlineStr">
        <is>
          <t>Труба ПП канализационная Ø110</t>
        </is>
      </c>
      <c r="C37" s="7" t="inlineStr">
        <is>
          <t>Ostendorf / Sinikon</t>
        </is>
      </c>
      <c r="D37" s="7" t="inlineStr">
        <is>
          <t>Ostendorf</t>
        </is>
      </c>
      <c r="E37" s="8" t="n">
        <v>1.5</v>
      </c>
      <c r="F37" s="7" t="inlineStr">
        <is>
          <t>м</t>
        </is>
      </c>
      <c r="G37" s="9" t="n">
        <v>480</v>
      </c>
      <c r="H37" s="9">
        <f>E37*G37</f>
        <v/>
      </c>
      <c r="I37" s="7" t="inlineStr">
        <is>
          <t>R5</t>
        </is>
      </c>
      <c r="J37" s="7" t="inlineStr">
        <is>
          <t>sewer S3</t>
        </is>
      </c>
      <c r="K37" s="7" t="inlineStr">
        <is>
          <t>Ремонт</t>
        </is>
      </c>
      <c r="L37" s="7" t="inlineStr">
        <is>
          <t>Э05</t>
        </is>
      </c>
      <c r="M37" s="7" t="inlineStr">
        <is>
          <t>Σ L = 1.26 м × 1,15</t>
        </is>
      </c>
    </row>
    <row r="38">
      <c r="A38" s="7" t="n">
        <v>34</v>
      </c>
      <c r="B38" s="7" t="inlineStr">
        <is>
          <t>Фасонные части ПП (отводы 15–45°, тройники, эксц. переходы 110/50), хомуты с резиной</t>
        </is>
      </c>
      <c r="C38" s="7" t="inlineStr">
        <is>
          <t>Ostendorf</t>
        </is>
      </c>
      <c r="D38" s="7" t="inlineStr">
        <is>
          <t>Ostendorf</t>
        </is>
      </c>
      <c r="E38" s="8" t="n">
        <v>23</v>
      </c>
      <c r="F38" s="7" t="inlineStr">
        <is>
          <t>шт</t>
        </is>
      </c>
      <c r="G38" s="9" t="n">
        <v>350</v>
      </c>
      <c r="H38" s="9">
        <f>E38*G38</f>
        <v/>
      </c>
      <c r="I38" s="7" t="inlineStr">
        <is>
          <t>R3, R5, R6</t>
        </is>
      </c>
      <c r="J38" s="7" t="inlineStr">
        <is>
          <t>sewer S1–S7; заглушка P12</t>
        </is>
      </c>
      <c r="K38" s="7" t="inlineStr">
        <is>
          <t>Ремонт</t>
        </is>
      </c>
      <c r="L38" s="7" t="inlineStr">
        <is>
          <t>Э05</t>
        </is>
      </c>
      <c r="M38" s="7" t="inlineStr">
        <is>
          <t>≈ 3 на трассу + 2 перехода</t>
        </is>
      </c>
    </row>
    <row r="39">
      <c r="A39" s="7" t="n">
        <v>35</v>
      </c>
      <c r="B39" s="7" t="inlineStr">
        <is>
          <t>Заглушка Ø110 с ревизией (выпуск бывшего WC постирочной)</t>
        </is>
      </c>
      <c r="C39" s="7" t="inlineStr">
        <is>
          <t>—</t>
        </is>
      </c>
      <c r="D39" s="7" t="inlineStr">
        <is>
          <t>Ostendorf</t>
        </is>
      </c>
      <c r="E39" s="8" t="n">
        <v>1</v>
      </c>
      <c r="F39" s="7" t="inlineStr">
        <is>
          <t>шт</t>
        </is>
      </c>
      <c r="G39" s="9" t="n">
        <v>900</v>
      </c>
      <c r="H39" s="9">
        <f>E39*G39</f>
        <v/>
      </c>
      <c r="I39" s="7" t="inlineStr">
        <is>
          <t>R6</t>
        </is>
      </c>
      <c r="J39" s="7" t="inlineStr">
        <is>
          <t>P12; D7; planning demolition F1</t>
        </is>
      </c>
      <c r="K39" s="7" t="inlineStr">
        <is>
          <t>Ремонт</t>
        </is>
      </c>
      <c r="L39" s="7" t="inlineStr">
        <is>
          <t>Э05</t>
        </is>
      </c>
      <c r="M39" s="7" t="inlineStr"/>
    </row>
    <row r="40">
      <c r="A40" s="7" t="n">
        <v>36</v>
      </c>
      <c r="B40" s="7" t="inlineStr">
        <is>
          <t>Люк ревизионный 300×600 — люк-невидимка нажимной под плитку/покраску</t>
        </is>
      </c>
      <c r="C40" s="7" t="inlineStr">
        <is>
          <t>Практика / Revizor</t>
        </is>
      </c>
      <c r="D40" s="7" t="inlineStr">
        <is>
          <t>Практика</t>
        </is>
      </c>
      <c r="E40" s="8" t="n">
        <v>1</v>
      </c>
      <c r="F40" s="7" t="inlineStr">
        <is>
          <t>шт</t>
        </is>
      </c>
      <c r="G40" s="9" t="n">
        <v>9500</v>
      </c>
      <c r="H40" s="9">
        <f>E40*G40</f>
        <v/>
      </c>
      <c r="I40" s="7" t="inlineStr">
        <is>
          <t>R5</t>
        </is>
      </c>
      <c r="J40" s="7" t="inlineStr">
        <is>
          <t>H1; ВК-03</t>
        </is>
      </c>
      <c r="K40" s="7" t="inlineStr">
        <is>
          <t>Ремонт</t>
        </is>
      </c>
      <c r="L40" s="7" t="inlineStr">
        <is>
          <t>Э08</t>
        </is>
      </c>
      <c r="M40" s="7" t="inlineStr"/>
    </row>
    <row r="41">
      <c r="A41" s="7" t="n">
        <v>37</v>
      </c>
      <c r="B41" s="7" t="inlineStr">
        <is>
          <t>Люк ревизионный 300×400 — люк под плитку с уплотнением (зона орошения),</t>
        </is>
      </c>
      <c r="C41" s="7" t="inlineStr">
        <is>
          <t>Практика / Revizor</t>
        </is>
      </c>
      <c r="D41" s="7" t="inlineStr">
        <is>
          <t>Практика</t>
        </is>
      </c>
      <c r="E41" s="8" t="n">
        <v>1</v>
      </c>
      <c r="F41" s="7" t="inlineStr">
        <is>
          <t>шт</t>
        </is>
      </c>
      <c r="G41" s="9" t="n">
        <v>7500</v>
      </c>
      <c r="H41" s="9">
        <f>E41*G41</f>
        <v/>
      </c>
      <c r="I41" s="7" t="inlineStr">
        <is>
          <t>R5</t>
        </is>
      </c>
      <c r="J41" s="7" t="inlineStr">
        <is>
          <t>H2; ВК-03</t>
        </is>
      </c>
      <c r="K41" s="7" t="inlineStr">
        <is>
          <t>Ремонт</t>
        </is>
      </c>
      <c r="L41" s="7" t="inlineStr">
        <is>
          <t>Э08</t>
        </is>
      </c>
      <c r="M41" s="7" t="inlineStr"/>
    </row>
    <row r="42">
      <c r="A42" s="7" t="n">
        <v>38</v>
      </c>
      <c r="B42" s="7" t="inlineStr">
        <is>
          <t>Люк ревизионный 300×400 — люк-невидимка над столешницей хозмойки</t>
        </is>
      </c>
      <c r="C42" s="7" t="inlineStr">
        <is>
          <t>Практика / Revizor</t>
        </is>
      </c>
      <c r="D42" s="7" t="inlineStr">
        <is>
          <t>Практика</t>
        </is>
      </c>
      <c r="E42" s="8" t="n">
        <v>1</v>
      </c>
      <c r="F42" s="7" t="inlineStr">
        <is>
          <t>шт</t>
        </is>
      </c>
      <c r="G42" s="9" t="n">
        <v>7500</v>
      </c>
      <c r="H42" s="9">
        <f>E42*G42</f>
        <v/>
      </c>
      <c r="I42" s="7" t="inlineStr">
        <is>
          <t>R6</t>
        </is>
      </c>
      <c r="J42" s="7" t="inlineStr">
        <is>
          <t>H3; ВК-03</t>
        </is>
      </c>
      <c r="K42" s="7" t="inlineStr">
        <is>
          <t>Ремонт</t>
        </is>
      </c>
      <c r="L42" s="7" t="inlineStr">
        <is>
          <t>Э08</t>
        </is>
      </c>
      <c r="M42" s="7" t="inlineStr"/>
    </row>
    <row r="43">
      <c r="A43" s="7" t="n">
        <v>39</v>
      </c>
      <c r="B43" s="7" t="inlineStr">
        <is>
          <t>Люк ревизионный 300×300 — ревизия в экране (под плитку)</t>
        </is>
      </c>
      <c r="C43" s="7" t="inlineStr">
        <is>
          <t>Практика / Revizor</t>
        </is>
      </c>
      <c r="D43" s="7" t="inlineStr">
        <is>
          <t>Практика</t>
        </is>
      </c>
      <c r="E43" s="8" t="n">
        <v>1</v>
      </c>
      <c r="F43" s="7" t="inlineStr">
        <is>
          <t>шт</t>
        </is>
      </c>
      <c r="G43" s="9" t="n">
        <v>5000</v>
      </c>
      <c r="H43" s="9">
        <f>E43*G43</f>
        <v/>
      </c>
      <c r="I43" s="7" t="inlineStr">
        <is>
          <t>R5</t>
        </is>
      </c>
      <c r="J43" s="7" t="inlineStr">
        <is>
          <t>H6; ВК-03</t>
        </is>
      </c>
      <c r="K43" s="7" t="inlineStr">
        <is>
          <t>Ремонт</t>
        </is>
      </c>
      <c r="L43" s="7" t="inlineStr">
        <is>
          <t>Э08</t>
        </is>
      </c>
      <c r="M43" s="7" t="inlineStr"/>
    </row>
    <row r="44">
      <c r="A44" s="7" t="n">
        <v>40</v>
      </c>
      <c r="B44" s="7" t="inlineStr">
        <is>
          <t>Монтажный комплект: кронштейны, шумоизоляция, ФУМ, герметики</t>
        </is>
      </c>
      <c r="C44" s="7" t="inlineStr">
        <is>
          <t>—</t>
        </is>
      </c>
      <c r="D44" s="7" t="inlineStr">
        <is>
          <t>—</t>
        </is>
      </c>
      <c r="E44" s="8" t="n">
        <v>1</v>
      </c>
      <c r="F44" s="7" t="inlineStr">
        <is>
          <t>компл</t>
        </is>
      </c>
      <c r="G44" s="9" t="n">
        <v>6000</v>
      </c>
      <c r="H44" s="9">
        <f>E44*G44</f>
        <v/>
      </c>
      <c r="I44" s="7" t="inlineStr">
        <is>
          <t>R3, R5, R6</t>
        </is>
      </c>
      <c r="J44" s="7" t="inlineStr">
        <is>
          <t>ВК-01</t>
        </is>
      </c>
      <c r="K44" s="7" t="inlineStr">
        <is>
          <t>Ремонт</t>
        </is>
      </c>
      <c r="L44" s="7" t="inlineStr">
        <is>
          <t>Э05</t>
        </is>
      </c>
      <c r="M44" s="7" t="inlineStr"/>
    </row>
    <row r="46">
      <c r="B46" s="5" t="inlineStr">
        <is>
          <t>Итого по спецификации</t>
        </is>
      </c>
      <c r="H46" s="10">
        <f>SUM(H5:H44)</f>
        <v/>
      </c>
    </row>
    <row r="47">
      <c r="B47" s="5" t="inlineStr">
        <is>
          <t>в т.ч. «Ремонт»</t>
        </is>
      </c>
      <c r="H47" s="10">
        <f>SUMIF(K5:K44,"Ремонт",H5:H44)</f>
        <v/>
      </c>
    </row>
    <row r="48">
      <c r="B48" s="5" t="inlineStr">
        <is>
          <t>в т.ч. «Мебель+техника»</t>
        </is>
      </c>
      <c r="H48" s="10">
        <f>SUMIF(K5:K44,"Мебель+техника",H5:H44)</f>
        <v/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СП-02.3. Двери и фурнитура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Дверь Д-1 (D1): полотно 800 × 2100 × 40, МДФ эмаль C1 филёнчатое, коробка, наличники 70–80 с цоколем</t>
        </is>
      </c>
      <c r="C5" s="7" t="inlineStr">
        <is>
          <t>линии неоклассики под эмаль</t>
        </is>
      </c>
      <c r="D5" s="7" t="inlineStr">
        <is>
          <t>Софья / Волховец / ProfilDoors</t>
        </is>
      </c>
      <c r="E5" s="8" t="n">
        <v>1</v>
      </c>
      <c r="F5" s="7" t="inlineStr">
        <is>
          <t>компл</t>
        </is>
      </c>
      <c r="G5" s="9" t="n">
        <v>42000</v>
      </c>
      <c r="H5" s="9">
        <f>E5*G5</f>
        <v/>
      </c>
      <c r="I5" s="7" t="inlineStr">
        <is>
          <t>R1</t>
        </is>
      </c>
      <c r="J5" s="7" t="inlineStr">
        <is>
          <t>D1; АР-08; M19</t>
        </is>
      </c>
      <c r="K5" s="7" t="inlineStr">
        <is>
          <t>Ремонт</t>
        </is>
      </c>
      <c r="L5" s="7" t="inlineStr">
        <is>
          <t>Э12</t>
        </is>
      </c>
      <c r="M5" s="7" t="inlineStr">
        <is>
          <t>проём 900 × 2180 (O8 1099 → добор ПГП 199 у y 4621..4820; над проёмом — надпроёмная панель до +2750, M19)</t>
        </is>
      </c>
    </row>
    <row r="6">
      <c r="A6" s="7" t="n">
        <v>2</v>
      </c>
      <c r="B6" s="7" t="inlineStr">
        <is>
          <t>Петли скрытые 3D для Д-1</t>
        </is>
      </c>
      <c r="C6" s="7" t="inlineStr">
        <is>
          <t>AGB Eclipse / Simonswerk Tectus-класс</t>
        </is>
      </c>
      <c r="D6" s="7" t="inlineStr">
        <is>
          <t>AGB</t>
        </is>
      </c>
      <c r="E6" s="8" t="n">
        <v>3</v>
      </c>
      <c r="F6" s="7" t="inlineStr">
        <is>
          <t>шт</t>
        </is>
      </c>
      <c r="G6" s="9" t="n">
        <v>2600</v>
      </c>
      <c r="H6" s="9">
        <f>E6*G6</f>
        <v/>
      </c>
      <c r="I6" s="7" t="inlineStr">
        <is>
          <t>R1</t>
        </is>
      </c>
      <c r="J6" s="7" t="inlineStr">
        <is>
          <t>D1</t>
        </is>
      </c>
      <c r="K6" s="7" t="inlineStr">
        <is>
          <t>Ремонт</t>
        </is>
      </c>
      <c r="L6" s="7" t="inlineStr">
        <is>
          <t>Э12</t>
        </is>
      </c>
      <c r="M6" s="7" t="inlineStr"/>
    </row>
    <row r="7">
      <c r="A7" s="7" t="n">
        <v>3</v>
      </c>
      <c r="B7" s="7" t="inlineStr">
        <is>
          <t>Ручка на розетке латунь сатин C8 для Д-1</t>
        </is>
      </c>
      <c r="C7" s="7" t="inlineStr">
        <is>
          <t>Morelli / Fratelli Cattini</t>
        </is>
      </c>
      <c r="D7" s="7" t="inlineStr">
        <is>
          <t>Fratelli Cattini</t>
        </is>
      </c>
      <c r="E7" s="8" t="n">
        <v>1</v>
      </c>
      <c r="F7" s="7" t="inlineStr">
        <is>
          <t>компл</t>
        </is>
      </c>
      <c r="G7" s="9" t="n">
        <v>3800</v>
      </c>
      <c r="H7" s="9">
        <f>E7*G7</f>
        <v/>
      </c>
      <c r="I7" s="7" t="inlineStr">
        <is>
          <t>R1</t>
        </is>
      </c>
      <c r="J7" s="7" t="inlineStr">
        <is>
          <t>D1</t>
        </is>
      </c>
      <c r="K7" s="7" t="inlineStr">
        <is>
          <t>Ремонт</t>
        </is>
      </c>
      <c r="L7" s="7" t="inlineStr">
        <is>
          <t>Э12</t>
        </is>
      </c>
      <c r="M7" s="7" t="inlineStr"/>
    </row>
    <row r="8">
      <c r="A8" s="7" t="n">
        <v>4</v>
      </c>
      <c r="B8" s="7" t="inlineStr">
        <is>
          <t>Защёлка магнитная для Д-1</t>
        </is>
      </c>
      <c r="C8" s="7" t="inlineStr">
        <is>
          <t>AGB Polaris</t>
        </is>
      </c>
      <c r="D8" s="7" t="inlineStr">
        <is>
          <t>AGB</t>
        </is>
      </c>
      <c r="E8" s="8" t="n">
        <v>1</v>
      </c>
      <c r="F8" s="7" t="inlineStr">
        <is>
          <t>шт</t>
        </is>
      </c>
      <c r="G8" s="9" t="n">
        <v>1500</v>
      </c>
      <c r="H8" s="9">
        <f>E8*G8</f>
        <v/>
      </c>
      <c r="I8" s="7" t="inlineStr">
        <is>
          <t>R1</t>
        </is>
      </c>
      <c r="J8" s="7" t="inlineStr">
        <is>
          <t>D1</t>
        </is>
      </c>
      <c r="K8" s="7" t="inlineStr">
        <is>
          <t>Ремонт</t>
        </is>
      </c>
      <c r="L8" s="7" t="inlineStr">
        <is>
          <t>Э12</t>
        </is>
      </c>
      <c r="M8" s="7" t="inlineStr"/>
    </row>
    <row r="9">
      <c r="A9" s="7" t="n">
        <v>5</v>
      </c>
      <c r="B9" s="7" t="inlineStr">
        <is>
          <t>Ограничитель настенный (не в пол, D3) для Д-1</t>
        </is>
      </c>
      <c r="C9" s="7" t="inlineStr">
        <is>
          <t>Morelli</t>
        </is>
      </c>
      <c r="D9" s="7" t="inlineStr">
        <is>
          <t>Morelli</t>
        </is>
      </c>
      <c r="E9" s="8" t="n">
        <v>1</v>
      </c>
      <c r="F9" s="7" t="inlineStr">
        <is>
          <t>шт</t>
        </is>
      </c>
      <c r="G9" s="9" t="n">
        <v>1100</v>
      </c>
      <c r="H9" s="9">
        <f>E9*G9</f>
        <v/>
      </c>
      <c r="I9" s="7" t="inlineStr">
        <is>
          <t>R1</t>
        </is>
      </c>
      <c r="J9" s="7" t="inlineStr">
        <is>
          <t>D1</t>
        </is>
      </c>
      <c r="K9" s="7" t="inlineStr">
        <is>
          <t>Ремонт</t>
        </is>
      </c>
      <c r="L9" s="7" t="inlineStr">
        <is>
          <t>Э12</t>
        </is>
      </c>
      <c r="M9" s="7" t="inlineStr"/>
    </row>
    <row r="10">
      <c r="A10" s="7" t="n">
        <v>6</v>
      </c>
      <c r="B10" s="7" t="inlineStr">
        <is>
          <t>Уплотнитель акустический по коробке для Д-1</t>
        </is>
      </c>
      <c r="C10" s="7" t="inlineStr">
        <is>
          <t>—</t>
        </is>
      </c>
      <c r="D10" s="7" t="inlineStr">
        <is>
          <t>—</t>
        </is>
      </c>
      <c r="E10" s="8" t="n">
        <v>1</v>
      </c>
      <c r="F10" s="7" t="inlineStr">
        <is>
          <t>компл</t>
        </is>
      </c>
      <c r="G10" s="9" t="n">
        <v>900</v>
      </c>
      <c r="H10" s="9">
        <f>E10*G10</f>
        <v/>
      </c>
      <c r="I10" s="7" t="inlineStr">
        <is>
          <t>R1</t>
        </is>
      </c>
      <c r="J10" s="7" t="inlineStr">
        <is>
          <t>D1</t>
        </is>
      </c>
      <c r="K10" s="7" t="inlineStr">
        <is>
          <t>Ремонт</t>
        </is>
      </c>
      <c r="L10" s="7" t="inlineStr">
        <is>
          <t>Э12</t>
        </is>
      </c>
      <c r="M10" s="7" t="inlineStr"/>
    </row>
    <row r="11">
      <c r="A11" s="7" t="n">
        <v>7</v>
      </c>
      <c r="B11" s="7" t="inlineStr">
        <is>
          <t>Дверь Д-2 (D2): полотно 800 × 2100 × 40, МДФ эмаль C1 филёнчатое, коробка, наличники 70–80 с цоколем</t>
        </is>
      </c>
      <c r="C11" s="7" t="inlineStr">
        <is>
          <t>линии неоклассики под эмаль</t>
        </is>
      </c>
      <c r="D11" s="7" t="inlineStr">
        <is>
          <t>Софья / Волховец / ProfilDoors</t>
        </is>
      </c>
      <c r="E11" s="8" t="n">
        <v>1</v>
      </c>
      <c r="F11" s="7" t="inlineStr">
        <is>
          <t>компл</t>
        </is>
      </c>
      <c r="G11" s="9" t="n">
        <v>42000</v>
      </c>
      <c r="H11" s="9">
        <f>E11*G11</f>
        <v/>
      </c>
      <c r="I11" s="7" t="inlineStr">
        <is>
          <t>R2</t>
        </is>
      </c>
      <c r="J11" s="7" t="inlineStr">
        <is>
          <t>D2; АР-08; M19</t>
        </is>
      </c>
      <c r="K11" s="7" t="inlineStr">
        <is>
          <t>Ремонт</t>
        </is>
      </c>
      <c r="L11" s="7" t="inlineStr">
        <is>
          <t>Э12</t>
        </is>
      </c>
      <c r="M11" s="7" t="inlineStr">
        <is>
          <t>проём 880 × 2180</t>
        </is>
      </c>
    </row>
    <row r="12">
      <c r="A12" s="7" t="n">
        <v>8</v>
      </c>
      <c r="B12" s="7" t="inlineStr">
        <is>
          <t>Петли скрытые 3D для Д-2</t>
        </is>
      </c>
      <c r="C12" s="7" t="inlineStr">
        <is>
          <t>AGB Eclipse / Simonswerk Tectus-класс</t>
        </is>
      </c>
      <c r="D12" s="7" t="inlineStr">
        <is>
          <t>AGB</t>
        </is>
      </c>
      <c r="E12" s="8" t="n">
        <v>3</v>
      </c>
      <c r="F12" s="7" t="inlineStr">
        <is>
          <t>шт</t>
        </is>
      </c>
      <c r="G12" s="9" t="n">
        <v>2600</v>
      </c>
      <c r="H12" s="9">
        <f>E12*G12</f>
        <v/>
      </c>
      <c r="I12" s="7" t="inlineStr">
        <is>
          <t>R2</t>
        </is>
      </c>
      <c r="J12" s="7" t="inlineStr">
        <is>
          <t>D2</t>
        </is>
      </c>
      <c r="K12" s="7" t="inlineStr">
        <is>
          <t>Ремонт</t>
        </is>
      </c>
      <c r="L12" s="7" t="inlineStr">
        <is>
          <t>Э12</t>
        </is>
      </c>
      <c r="M12" s="7" t="inlineStr"/>
    </row>
    <row r="13">
      <c r="A13" s="7" t="n">
        <v>9</v>
      </c>
      <c r="B13" s="7" t="inlineStr">
        <is>
          <t>Ручка на розетке латунь сатин C8 для Д-2</t>
        </is>
      </c>
      <c r="C13" s="7" t="inlineStr">
        <is>
          <t>Morelli / Fratelli Cattini</t>
        </is>
      </c>
      <c r="D13" s="7" t="inlineStr">
        <is>
          <t>Fratelli Cattini</t>
        </is>
      </c>
      <c r="E13" s="8" t="n">
        <v>1</v>
      </c>
      <c r="F13" s="7" t="inlineStr">
        <is>
          <t>компл</t>
        </is>
      </c>
      <c r="G13" s="9" t="n">
        <v>3800</v>
      </c>
      <c r="H13" s="9">
        <f>E13*G13</f>
        <v/>
      </c>
      <c r="I13" s="7" t="inlineStr">
        <is>
          <t>R2</t>
        </is>
      </c>
      <c r="J13" s="7" t="inlineStr">
        <is>
          <t>D2</t>
        </is>
      </c>
      <c r="K13" s="7" t="inlineStr">
        <is>
          <t>Ремонт</t>
        </is>
      </c>
      <c r="L13" s="7" t="inlineStr">
        <is>
          <t>Э12</t>
        </is>
      </c>
      <c r="M13" s="7" t="inlineStr"/>
    </row>
    <row r="14">
      <c r="A14" s="7" t="n">
        <v>10</v>
      </c>
      <c r="B14" s="7" t="inlineStr">
        <is>
          <t>Защёлка магнитная для Д-2</t>
        </is>
      </c>
      <c r="C14" s="7" t="inlineStr">
        <is>
          <t>AGB Polaris</t>
        </is>
      </c>
      <c r="D14" s="7" t="inlineStr">
        <is>
          <t>AGB</t>
        </is>
      </c>
      <c r="E14" s="8" t="n">
        <v>1</v>
      </c>
      <c r="F14" s="7" t="inlineStr">
        <is>
          <t>шт</t>
        </is>
      </c>
      <c r="G14" s="9" t="n">
        <v>1500</v>
      </c>
      <c r="H14" s="9">
        <f>E14*G14</f>
        <v/>
      </c>
      <c r="I14" s="7" t="inlineStr">
        <is>
          <t>R2</t>
        </is>
      </c>
      <c r="J14" s="7" t="inlineStr">
        <is>
          <t>D2</t>
        </is>
      </c>
      <c r="K14" s="7" t="inlineStr">
        <is>
          <t>Ремонт</t>
        </is>
      </c>
      <c r="L14" s="7" t="inlineStr">
        <is>
          <t>Э12</t>
        </is>
      </c>
      <c r="M14" s="7" t="inlineStr"/>
    </row>
    <row r="15">
      <c r="A15" s="7" t="n">
        <v>11</v>
      </c>
      <c r="B15" s="7" t="inlineStr">
        <is>
          <t>Ограничитель настенный (не в пол, D3) для Д-2</t>
        </is>
      </c>
      <c r="C15" s="7" t="inlineStr">
        <is>
          <t>Morelli</t>
        </is>
      </c>
      <c r="D15" s="7" t="inlineStr">
        <is>
          <t>Morelli</t>
        </is>
      </c>
      <c r="E15" s="8" t="n">
        <v>1</v>
      </c>
      <c r="F15" s="7" t="inlineStr">
        <is>
          <t>шт</t>
        </is>
      </c>
      <c r="G15" s="9" t="n">
        <v>1100</v>
      </c>
      <c r="H15" s="9">
        <f>E15*G15</f>
        <v/>
      </c>
      <c r="I15" s="7" t="inlineStr">
        <is>
          <t>R2</t>
        </is>
      </c>
      <c r="J15" s="7" t="inlineStr">
        <is>
          <t>D2</t>
        </is>
      </c>
      <c r="K15" s="7" t="inlineStr">
        <is>
          <t>Ремонт</t>
        </is>
      </c>
      <c r="L15" s="7" t="inlineStr">
        <is>
          <t>Э12</t>
        </is>
      </c>
      <c r="M15" s="7" t="inlineStr"/>
    </row>
    <row r="16">
      <c r="A16" s="7" t="n">
        <v>12</v>
      </c>
      <c r="B16" s="7" t="inlineStr">
        <is>
          <t>Доводчик-демпфер от защемления для Д-2</t>
        </is>
      </c>
      <c r="C16" s="7" t="inlineStr">
        <is>
          <t>—</t>
        </is>
      </c>
      <c r="D16" s="7" t="inlineStr">
        <is>
          <t>—</t>
        </is>
      </c>
      <c r="E16" s="8" t="n">
        <v>1</v>
      </c>
      <c r="F16" s="7" t="inlineStr">
        <is>
          <t>шт</t>
        </is>
      </c>
      <c r="G16" s="9" t="n">
        <v>2500</v>
      </c>
      <c r="H16" s="9">
        <f>E16*G16</f>
        <v/>
      </c>
      <c r="I16" s="7" t="inlineStr">
        <is>
          <t>R2</t>
        </is>
      </c>
      <c r="J16" s="7" t="inlineStr">
        <is>
          <t>D2</t>
        </is>
      </c>
      <c r="K16" s="7" t="inlineStr">
        <is>
          <t>Ремонт</t>
        </is>
      </c>
      <c r="L16" s="7" t="inlineStr">
        <is>
          <t>Э12</t>
        </is>
      </c>
      <c r="M16" s="7" t="inlineStr"/>
    </row>
    <row r="17">
      <c r="A17" s="7" t="n">
        <v>13</v>
      </c>
      <c r="B17" s="7" t="inlineStr">
        <is>
          <t>Дверь Д-3 (D3): полотно 700 × 2010 × 40, МДФ эмаль C1 филёнчатое, влагостойкое, коробка, наличники 70–80 с цоколем</t>
        </is>
      </c>
      <c r="C17" s="7" t="inlineStr">
        <is>
          <t>линии неоклассики под эмаль</t>
        </is>
      </c>
      <c r="D17" s="7" t="inlineStr">
        <is>
          <t>Софья / Волховец / ProfilDoors</t>
        </is>
      </c>
      <c r="E17" s="8" t="n">
        <v>1</v>
      </c>
      <c r="F17" s="7" t="inlineStr">
        <is>
          <t>компл</t>
        </is>
      </c>
      <c r="G17" s="9" t="n">
        <v>42000</v>
      </c>
      <c r="H17" s="9">
        <f>E17*G17</f>
        <v/>
      </c>
      <c r="I17" s="7" t="inlineStr">
        <is>
          <t>R5</t>
        </is>
      </c>
      <c r="J17" s="7" t="inlineStr">
        <is>
          <t>D3; АР-08; M19</t>
        </is>
      </c>
      <c r="K17" s="7" t="inlineStr">
        <is>
          <t>Ремонт</t>
        </is>
      </c>
      <c r="L17" s="7" t="inlineStr">
        <is>
          <t>Э12</t>
        </is>
      </c>
      <c r="M17" s="7" t="inlineStr">
        <is>
          <t>проём 780 × 2180 (от пола коридора; порог-ступень +90, D20)</t>
        </is>
      </c>
    </row>
    <row r="18">
      <c r="A18" s="7" t="n">
        <v>14</v>
      </c>
      <c r="B18" s="7" t="inlineStr">
        <is>
          <t>Петли скрытые 180° для Д-3</t>
        </is>
      </c>
      <c r="C18" s="7" t="inlineStr">
        <is>
          <t>AGB Eclipse / Simonswerk Tectus-класс</t>
        </is>
      </c>
      <c r="D18" s="7" t="inlineStr">
        <is>
          <t>AGB</t>
        </is>
      </c>
      <c r="E18" s="8" t="n">
        <v>3</v>
      </c>
      <c r="F18" s="7" t="inlineStr">
        <is>
          <t>шт</t>
        </is>
      </c>
      <c r="G18" s="9" t="n">
        <v>2600</v>
      </c>
      <c r="H18" s="9">
        <f>E18*G18</f>
        <v/>
      </c>
      <c r="I18" s="7" t="inlineStr">
        <is>
          <t>R5</t>
        </is>
      </c>
      <c r="J18" s="7" t="inlineStr">
        <is>
          <t>D3</t>
        </is>
      </c>
      <c r="K18" s="7" t="inlineStr">
        <is>
          <t>Ремонт</t>
        </is>
      </c>
      <c r="L18" s="7" t="inlineStr">
        <is>
          <t>Э12</t>
        </is>
      </c>
      <c r="M18" s="7" t="inlineStr"/>
    </row>
    <row r="19">
      <c r="A19" s="7" t="n">
        <v>15</v>
      </c>
      <c r="B19" s="7" t="inlineStr">
        <is>
          <t>Ручка на розетке латунь сатин C8 для Д-3</t>
        </is>
      </c>
      <c r="C19" s="7" t="inlineStr">
        <is>
          <t>Morelli / Fratelli Cattini</t>
        </is>
      </c>
      <c r="D19" s="7" t="inlineStr">
        <is>
          <t>Fratelli Cattini</t>
        </is>
      </c>
      <c r="E19" s="8" t="n">
        <v>1</v>
      </c>
      <c r="F19" s="7" t="inlineStr">
        <is>
          <t>компл</t>
        </is>
      </c>
      <c r="G19" s="9" t="n">
        <v>3800</v>
      </c>
      <c r="H19" s="9">
        <f>E19*G19</f>
        <v/>
      </c>
      <c r="I19" s="7" t="inlineStr">
        <is>
          <t>R5</t>
        </is>
      </c>
      <c r="J19" s="7" t="inlineStr">
        <is>
          <t>D3</t>
        </is>
      </c>
      <c r="K19" s="7" t="inlineStr">
        <is>
          <t>Ремонт</t>
        </is>
      </c>
      <c r="L19" s="7" t="inlineStr">
        <is>
          <t>Э12</t>
        </is>
      </c>
      <c r="M19" s="7" t="inlineStr"/>
    </row>
    <row r="20">
      <c r="A20" s="7" t="n">
        <v>16</v>
      </c>
      <c r="B20" s="7" t="inlineStr">
        <is>
          <t>Защёлка магнитная для Д-3</t>
        </is>
      </c>
      <c r="C20" s="7" t="inlineStr">
        <is>
          <t>AGB Polaris</t>
        </is>
      </c>
      <c r="D20" s="7" t="inlineStr">
        <is>
          <t>AGB</t>
        </is>
      </c>
      <c r="E20" s="8" t="n">
        <v>1</v>
      </c>
      <c r="F20" s="7" t="inlineStr">
        <is>
          <t>шт</t>
        </is>
      </c>
      <c r="G20" s="9" t="n">
        <v>1500</v>
      </c>
      <c r="H20" s="9">
        <f>E20*G20</f>
        <v/>
      </c>
      <c r="I20" s="7" t="inlineStr">
        <is>
          <t>R5</t>
        </is>
      </c>
      <c r="J20" s="7" t="inlineStr">
        <is>
          <t>D3</t>
        </is>
      </c>
      <c r="K20" s="7" t="inlineStr">
        <is>
          <t>Ремонт</t>
        </is>
      </c>
      <c r="L20" s="7" t="inlineStr">
        <is>
          <t>Э12</t>
        </is>
      </c>
      <c r="M20" s="7" t="inlineStr"/>
    </row>
    <row r="21">
      <c r="A21" s="7" t="n">
        <v>17</v>
      </c>
      <c r="B21" s="7" t="inlineStr">
        <is>
          <t>WC-фиксатор с индикатором, латунь сатин, для Д-3</t>
        </is>
      </c>
      <c r="C21" s="7" t="inlineStr">
        <is>
          <t>Fratelli Cattini</t>
        </is>
      </c>
      <c r="D21" s="7" t="inlineStr">
        <is>
          <t>Fratelli Cattini</t>
        </is>
      </c>
      <c r="E21" s="8" t="n">
        <v>1</v>
      </c>
      <c r="F21" s="7" t="inlineStr">
        <is>
          <t>шт</t>
        </is>
      </c>
      <c r="G21" s="9" t="n">
        <v>2600</v>
      </c>
      <c r="H21" s="9">
        <f>E21*G21</f>
        <v/>
      </c>
      <c r="I21" s="7" t="inlineStr">
        <is>
          <t>R5</t>
        </is>
      </c>
      <c r="J21" s="7" t="inlineStr">
        <is>
          <t>D3</t>
        </is>
      </c>
      <c r="K21" s="7" t="inlineStr">
        <is>
          <t>Ремонт</t>
        </is>
      </c>
      <c r="L21" s="7" t="inlineStr">
        <is>
          <t>Э12</t>
        </is>
      </c>
      <c r="M21" s="7" t="inlineStr"/>
    </row>
    <row r="22">
      <c r="A22" s="7" t="n">
        <v>18</v>
      </c>
      <c r="B22" s="7" t="inlineStr">
        <is>
          <t>Ограничитель настенный (не в пол, D3) для Д-3</t>
        </is>
      </c>
      <c r="C22" s="7" t="inlineStr">
        <is>
          <t>Morelli</t>
        </is>
      </c>
      <c r="D22" s="7" t="inlineStr">
        <is>
          <t>Morelli</t>
        </is>
      </c>
      <c r="E22" s="8" t="n">
        <v>1</v>
      </c>
      <c r="F22" s="7" t="inlineStr">
        <is>
          <t>шт</t>
        </is>
      </c>
      <c r="G22" s="9" t="n">
        <v>1100</v>
      </c>
      <c r="H22" s="9">
        <f>E22*G22</f>
        <v/>
      </c>
      <c r="I22" s="7" t="inlineStr">
        <is>
          <t>R5</t>
        </is>
      </c>
      <c r="J22" s="7" t="inlineStr">
        <is>
          <t>D3</t>
        </is>
      </c>
      <c r="K22" s="7" t="inlineStr">
        <is>
          <t>Ремонт</t>
        </is>
      </c>
      <c r="L22" s="7" t="inlineStr">
        <is>
          <t>Э12</t>
        </is>
      </c>
      <c r="M22" s="7" t="inlineStr"/>
    </row>
    <row r="23">
      <c r="A23" s="7" t="n">
        <v>19</v>
      </c>
      <c r="B23" s="7" t="inlineStr">
        <is>
          <t>Переточная решётка в полотне для Д-3</t>
        </is>
      </c>
      <c r="C23" s="7" t="inlineStr">
        <is>
          <t>—</t>
        </is>
      </c>
      <c r="D23" s="7" t="inlineStr">
        <is>
          <t>в цвет C1</t>
        </is>
      </c>
      <c r="E23" s="8" t="n">
        <v>1</v>
      </c>
      <c r="F23" s="7" t="inlineStr">
        <is>
          <t>шт</t>
        </is>
      </c>
      <c r="G23" s="9" t="n">
        <v>1500</v>
      </c>
      <c r="H23" s="9">
        <f>E23*G23</f>
        <v/>
      </c>
      <c r="I23" s="7" t="inlineStr">
        <is>
          <t>R5</t>
        </is>
      </c>
      <c r="J23" s="7" t="inlineStr">
        <is>
          <t>D3</t>
        </is>
      </c>
      <c r="K23" s="7" t="inlineStr">
        <is>
          <t>Ремонт</t>
        </is>
      </c>
      <c r="L23" s="7" t="inlineStr">
        <is>
          <t>Э12</t>
        </is>
      </c>
      <c r="M23" s="7" t="inlineStr"/>
    </row>
    <row r="24">
      <c r="A24" s="7" t="n">
        <v>20</v>
      </c>
      <c r="B24" s="7" t="inlineStr">
        <is>
          <t>Дверь Д-4 (D4): полотно 700 × 2085 × 40, МДФ эмаль C1 филёнчатое, влагостойкое, коробка, наличники 70–80 с цоколем</t>
        </is>
      </c>
      <c r="C24" s="7" t="inlineStr">
        <is>
          <t>линии неоклассики под эмаль</t>
        </is>
      </c>
      <c r="D24" s="7" t="inlineStr">
        <is>
          <t>Софья / Волховец / ProfilDoors</t>
        </is>
      </c>
      <c r="E24" s="8" t="n">
        <v>1</v>
      </c>
      <c r="F24" s="7" t="inlineStr">
        <is>
          <t>компл</t>
        </is>
      </c>
      <c r="G24" s="9" t="n">
        <v>42000</v>
      </c>
      <c r="H24" s="9">
        <f>E24*G24</f>
        <v/>
      </c>
      <c r="I24" s="7" t="inlineStr">
        <is>
          <t>R6</t>
        </is>
      </c>
      <c r="J24" s="7" t="inlineStr">
        <is>
          <t>D4; АР-08; M19</t>
        </is>
      </c>
      <c r="K24" s="7" t="inlineStr">
        <is>
          <t>Ремонт</t>
        </is>
      </c>
      <c r="L24" s="7" t="inlineStr">
        <is>
          <t>Э12</t>
        </is>
      </c>
      <c r="M24" s="7" t="inlineStr">
        <is>
          <t>проём 780 × 2180</t>
        </is>
      </c>
    </row>
    <row r="25">
      <c r="A25" s="7" t="n">
        <v>21</v>
      </c>
      <c r="B25" s="7" t="inlineStr">
        <is>
          <t>Петли скрытые 180° для Д-4</t>
        </is>
      </c>
      <c r="C25" s="7" t="inlineStr">
        <is>
          <t>AGB Eclipse / Simonswerk Tectus-класс</t>
        </is>
      </c>
      <c r="D25" s="7" t="inlineStr">
        <is>
          <t>AGB</t>
        </is>
      </c>
      <c r="E25" s="8" t="n">
        <v>3</v>
      </c>
      <c r="F25" s="7" t="inlineStr">
        <is>
          <t>шт</t>
        </is>
      </c>
      <c r="G25" s="9" t="n">
        <v>2600</v>
      </c>
      <c r="H25" s="9">
        <f>E25*G25</f>
        <v/>
      </c>
      <c r="I25" s="7" t="inlineStr">
        <is>
          <t>R6</t>
        </is>
      </c>
      <c r="J25" s="7" t="inlineStr">
        <is>
          <t>D4</t>
        </is>
      </c>
      <c r="K25" s="7" t="inlineStr">
        <is>
          <t>Ремонт</t>
        </is>
      </c>
      <c r="L25" s="7" t="inlineStr">
        <is>
          <t>Э12</t>
        </is>
      </c>
      <c r="M25" s="7" t="inlineStr"/>
    </row>
    <row r="26">
      <c r="A26" s="7" t="n">
        <v>22</v>
      </c>
      <c r="B26" s="7" t="inlineStr">
        <is>
          <t>Ручка на розетке латунь сатин C8 для Д-4</t>
        </is>
      </c>
      <c r="C26" s="7" t="inlineStr">
        <is>
          <t>Morelli / Fratelli Cattini</t>
        </is>
      </c>
      <c r="D26" s="7" t="inlineStr">
        <is>
          <t>Fratelli Cattini</t>
        </is>
      </c>
      <c r="E26" s="8" t="n">
        <v>1</v>
      </c>
      <c r="F26" s="7" t="inlineStr">
        <is>
          <t>компл</t>
        </is>
      </c>
      <c r="G26" s="9" t="n">
        <v>3800</v>
      </c>
      <c r="H26" s="9">
        <f>E26*G26</f>
        <v/>
      </c>
      <c r="I26" s="7" t="inlineStr">
        <is>
          <t>R6</t>
        </is>
      </c>
      <c r="J26" s="7" t="inlineStr">
        <is>
          <t>D4</t>
        </is>
      </c>
      <c r="K26" s="7" t="inlineStr">
        <is>
          <t>Ремонт</t>
        </is>
      </c>
      <c r="L26" s="7" t="inlineStr">
        <is>
          <t>Э12</t>
        </is>
      </c>
      <c r="M26" s="7" t="inlineStr"/>
    </row>
    <row r="27">
      <c r="A27" s="7" t="n">
        <v>23</v>
      </c>
      <c r="B27" s="7" t="inlineStr">
        <is>
          <t>Защёлка магнитная для Д-4</t>
        </is>
      </c>
      <c r="C27" s="7" t="inlineStr">
        <is>
          <t>AGB Polaris</t>
        </is>
      </c>
      <c r="D27" s="7" t="inlineStr">
        <is>
          <t>AGB</t>
        </is>
      </c>
      <c r="E27" s="8" t="n">
        <v>1</v>
      </c>
      <c r="F27" s="7" t="inlineStr">
        <is>
          <t>шт</t>
        </is>
      </c>
      <c r="G27" s="9" t="n">
        <v>1500</v>
      </c>
      <c r="H27" s="9">
        <f>E27*G27</f>
        <v/>
      </c>
      <c r="I27" s="7" t="inlineStr">
        <is>
          <t>R6</t>
        </is>
      </c>
      <c r="J27" s="7" t="inlineStr">
        <is>
          <t>D4</t>
        </is>
      </c>
      <c r="K27" s="7" t="inlineStr">
        <is>
          <t>Ремонт</t>
        </is>
      </c>
      <c r="L27" s="7" t="inlineStr">
        <is>
          <t>Э12</t>
        </is>
      </c>
      <c r="M27" s="7" t="inlineStr"/>
    </row>
    <row r="28">
      <c r="A28" s="7" t="n">
        <v>24</v>
      </c>
      <c r="B28" s="7" t="inlineStr">
        <is>
          <t>WC-фиксатор с индикатором, латунь сатин, для Д-4</t>
        </is>
      </c>
      <c r="C28" s="7" t="inlineStr">
        <is>
          <t>Fratelli Cattini</t>
        </is>
      </c>
      <c r="D28" s="7" t="inlineStr">
        <is>
          <t>Fratelli Cattini</t>
        </is>
      </c>
      <c r="E28" s="8" t="n">
        <v>1</v>
      </c>
      <c r="F28" s="7" t="inlineStr">
        <is>
          <t>шт</t>
        </is>
      </c>
      <c r="G28" s="9" t="n">
        <v>2600</v>
      </c>
      <c r="H28" s="9">
        <f>E28*G28</f>
        <v/>
      </c>
      <c r="I28" s="7" t="inlineStr">
        <is>
          <t>R6</t>
        </is>
      </c>
      <c r="J28" s="7" t="inlineStr">
        <is>
          <t>D4</t>
        </is>
      </c>
      <c r="K28" s="7" t="inlineStr">
        <is>
          <t>Ремонт</t>
        </is>
      </c>
      <c r="L28" s="7" t="inlineStr">
        <is>
          <t>Э12</t>
        </is>
      </c>
      <c r="M28" s="7" t="inlineStr"/>
    </row>
    <row r="29">
      <c r="A29" s="7" t="n">
        <v>25</v>
      </c>
      <c r="B29" s="7" t="inlineStr">
        <is>
          <t>Ограничитель настенный (не в пол, D3) для Д-4</t>
        </is>
      </c>
      <c r="C29" s="7" t="inlineStr">
        <is>
          <t>Morelli</t>
        </is>
      </c>
      <c r="D29" s="7" t="inlineStr">
        <is>
          <t>Morelli</t>
        </is>
      </c>
      <c r="E29" s="8" t="n">
        <v>1</v>
      </c>
      <c r="F29" s="7" t="inlineStr">
        <is>
          <t>шт</t>
        </is>
      </c>
      <c r="G29" s="9" t="n">
        <v>1100</v>
      </c>
      <c r="H29" s="9">
        <f>E29*G29</f>
        <v/>
      </c>
      <c r="I29" s="7" t="inlineStr">
        <is>
          <t>R6</t>
        </is>
      </c>
      <c r="J29" s="7" t="inlineStr">
        <is>
          <t>D4</t>
        </is>
      </c>
      <c r="K29" s="7" t="inlineStr">
        <is>
          <t>Ремонт</t>
        </is>
      </c>
      <c r="L29" s="7" t="inlineStr">
        <is>
          <t>Э12</t>
        </is>
      </c>
      <c r="M29" s="7" t="inlineStr"/>
    </row>
    <row r="30">
      <c r="A30" s="7" t="n">
        <v>26</v>
      </c>
      <c r="B30" s="7" t="inlineStr">
        <is>
          <t>Надпроёмная панель над D1 до +2750 (МДФ эмаль C1, в системе двери)</t>
        </is>
      </c>
      <c r="C30" s="7" t="inlineStr">
        <is>
          <t>—</t>
        </is>
      </c>
      <c r="D30" s="7" t="inlineStr">
        <is>
          <t>Софья / Волховец / ProfilDoors</t>
        </is>
      </c>
      <c r="E30" s="8" t="n">
        <v>1</v>
      </c>
      <c r="F30" s="7" t="inlineStr">
        <is>
          <t>шт</t>
        </is>
      </c>
      <c r="G30" s="9" t="n">
        <v>12000</v>
      </c>
      <c r="H30" s="9">
        <f>E30*G30</f>
        <v/>
      </c>
      <c r="I30" s="7" t="inlineStr">
        <is>
          <t>R1</t>
        </is>
      </c>
      <c r="J30" s="7" t="inlineStr">
        <is>
          <t>D1; doors.json opening_clear; M19</t>
        </is>
      </c>
      <c r="K30" s="7" t="inlineStr">
        <is>
          <t>Ремонт</t>
        </is>
      </c>
      <c r="L30" s="7" t="inlineStr">
        <is>
          <t>Э12</t>
        </is>
      </c>
      <c r="M30" s="7" t="inlineStr"/>
    </row>
    <row r="31">
      <c r="A31" s="7" t="n">
        <v>27</v>
      </c>
      <c r="B31" s="7" t="inlineStr">
        <is>
          <t>Наличник C1 изнутри входной двери ДВ-1 (комплект с цоколем)</t>
        </is>
      </c>
      <c r="C31" s="7" t="inlineStr">
        <is>
          <t>—</t>
        </is>
      </c>
      <c r="D31" s="7" t="inlineStr">
        <is>
          <t>Софья / Волховец</t>
        </is>
      </c>
      <c r="E31" s="8" t="n">
        <v>1</v>
      </c>
      <c r="F31" s="7" t="inlineStr">
        <is>
          <t>компл</t>
        </is>
      </c>
      <c r="G31" s="9" t="n">
        <v>8000</v>
      </c>
      <c r="H31" s="9">
        <f>E31*G31</f>
        <v/>
      </c>
      <c r="I31" s="7" t="inlineStr">
        <is>
          <t>R4</t>
        </is>
      </c>
      <c r="J31" s="7" t="inlineStr">
        <is>
          <t>O5; ДВ-1</t>
        </is>
      </c>
      <c r="K31" s="7" t="inlineStr">
        <is>
          <t>Ремонт</t>
        </is>
      </c>
      <c r="L31" s="7" t="inlineStr">
        <is>
          <t>Э12</t>
        </is>
      </c>
      <c r="M31" s="7" t="inlineStr"/>
    </row>
    <row r="33">
      <c r="B33" s="5" t="inlineStr">
        <is>
          <t>Итого по спецификации</t>
        </is>
      </c>
      <c r="H33" s="10">
        <f>SUM(H5:H31)</f>
        <v/>
      </c>
    </row>
    <row r="34">
      <c r="B34" s="5" t="inlineStr">
        <is>
          <t>в т.ч. «Ремонт»</t>
        </is>
      </c>
      <c r="H34" s="10">
        <f>SUMIF(K5:K31,"Ремонт",H5:H31)</f>
        <v/>
      </c>
    </row>
    <row r="35">
      <c r="B35" s="5" t="inlineStr">
        <is>
          <t>в т.ч. «Мебель+техника»</t>
        </is>
      </c>
      <c r="H35" s="10">
        <f>SUMIF(K5:K31,"Мебель+техника",H5:H31)</f>
        <v/>
      </c>
    </row>
  </sheetData>
  <mergeCells count="1"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СП-05. Отделочные и черновые материалы (с запасами)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Инженерная доска дуб 2-слойная 14–15 мм, ёлочка 90×600, ультраматовый лак, допуск на водяной ТП</t>
        </is>
      </c>
      <c r="C5" s="7" t="inlineStr">
        <is>
          <t>Coswick «Ёлочка» / Alpine Floor Villa Herringbone</t>
        </is>
      </c>
      <c r="D5" s="7" t="inlineStr">
        <is>
          <t>Coswick / Alpine Floor</t>
        </is>
      </c>
      <c r="E5" s="8">
        <f>CEILING(51.45*1.08,1.0)</f>
        <v/>
      </c>
      <c r="F5" s="7" t="inlineStr">
        <is>
          <t>м²</t>
        </is>
      </c>
      <c r="G5" s="9" t="n">
        <v>7800</v>
      </c>
      <c r="H5" s="9">
        <f>E5*G5</f>
        <v/>
      </c>
      <c r="I5" s="7" t="inlineStr">
        <is>
          <t>R1, R2, R3, R4</t>
        </is>
      </c>
      <c r="J5" s="7" t="inlineStr">
        <is>
          <t>floors oak_herringbone (R1 17,54, R2 11,87, R3 14,59, R4 7,45); M01; АР-10</t>
        </is>
      </c>
      <c r="K5" s="7" t="inlineStr">
        <is>
          <t>Ремонт</t>
        </is>
      </c>
      <c r="L5" s="7" t="inlineStr">
        <is>
          <t>Э11</t>
        </is>
      </c>
      <c r="M5" s="7" t="inlineStr">
        <is>
          <t>нетто 51.45 м² × 1.08 → упаковка 1.0 м²</t>
        </is>
      </c>
    </row>
    <row r="6">
      <c r="A6" s="7" t="n">
        <v>2</v>
      </c>
      <c r="B6" s="7" t="inlineStr">
        <is>
          <t>Клей паркетный MS-полимер эластичный (1,2 кг/м²)</t>
        </is>
      </c>
      <c r="C6" s="7" t="inlineStr">
        <is>
          <t>Uzin MK 250 / Bostik Tarbicol MS</t>
        </is>
      </c>
      <c r="D6" s="7" t="inlineStr">
        <is>
          <t>Uzin / Bostik</t>
        </is>
      </c>
      <c r="E6" s="8">
        <f>CEILING(51.45*1.2,15)</f>
        <v/>
      </c>
      <c r="F6" s="7" t="inlineStr">
        <is>
          <t>кг</t>
        </is>
      </c>
      <c r="G6" s="9" t="n">
        <v>700</v>
      </c>
      <c r="H6" s="9">
        <f>E6*G6</f>
        <v/>
      </c>
      <c r="I6" s="7" t="inlineStr">
        <is>
          <t>R1, R2, R3, R4</t>
        </is>
      </c>
      <c r="J6" s="7" t="inlineStr">
        <is>
          <t>P-OAK; M01</t>
        </is>
      </c>
      <c r="K6" s="7" t="inlineStr">
        <is>
          <t>Ремонт</t>
        </is>
      </c>
      <c r="L6" s="7" t="inlineStr">
        <is>
          <t>Э11</t>
        </is>
      </c>
      <c r="M6" s="7" t="inlineStr"/>
    </row>
    <row r="7">
      <c r="A7" s="7" t="n">
        <v>3</v>
      </c>
      <c r="B7" s="7" t="inlineStr">
        <is>
          <t>Грунт/ремонтный состав под клей (0,2 л/м²) и локальный ремонт стяжки</t>
        </is>
      </c>
      <c r="C7" s="7" t="inlineStr">
        <is>
          <t>Uzin PE 460 / Bostik</t>
        </is>
      </c>
      <c r="D7" s="7" t="inlineStr">
        <is>
          <t>Uzin</t>
        </is>
      </c>
      <c r="E7" s="8" t="n">
        <v>15</v>
      </c>
      <c r="F7" s="7" t="inlineStr">
        <is>
          <t>л</t>
        </is>
      </c>
      <c r="G7" s="9" t="n">
        <v>950</v>
      </c>
      <c r="H7" s="9">
        <f>E7*G7</f>
        <v/>
      </c>
      <c r="I7" s="7" t="inlineStr">
        <is>
          <t>R1, R2, R3, R4</t>
        </is>
      </c>
      <c r="J7" s="7" t="inlineStr">
        <is>
          <t>P-OAK</t>
        </is>
      </c>
      <c r="K7" s="7" t="inlineStr">
        <is>
          <t>Ремонт</t>
        </is>
      </c>
      <c r="L7" s="7" t="inlineStr">
        <is>
          <t>Э11</t>
        </is>
      </c>
      <c r="M7" s="7" t="inlineStr"/>
    </row>
    <row r="8">
      <c r="A8" s="7" t="n">
        <v>4</v>
      </c>
      <c r="B8" s="7" t="inlineStr">
        <is>
          <t>LVT клеевой «ёлочка» в тон дуба C7, 33/42 кл., слой износа ≥ 0,55, допуск на ТП</t>
        </is>
      </c>
      <c r="C8" s="7" t="inlineStr">
        <is>
          <t>Alpine Floor Parquet LVT / Aquafloor Parquet Glue</t>
        </is>
      </c>
      <c r="D8" s="7" t="inlineStr">
        <is>
          <t>Alpine Floor</t>
        </is>
      </c>
      <c r="E8" s="8">
        <f>CEILING(6.47*1.08,0.5)</f>
        <v/>
      </c>
      <c r="F8" s="7" t="inlineStr">
        <is>
          <t>м²</t>
        </is>
      </c>
      <c r="G8" s="9" t="n">
        <v>3300</v>
      </c>
      <c r="H8" s="9">
        <f>E8*G8</f>
        <v/>
      </c>
      <c r="I8" s="7" t="inlineStr">
        <is>
          <t>R7</t>
        </is>
      </c>
      <c r="J8" s="7" t="inlineStr">
        <is>
          <t>floors lvt_herringbone; M28</t>
        </is>
      </c>
      <c r="K8" s="7" t="inlineStr">
        <is>
          <t>Ремонт</t>
        </is>
      </c>
      <c r="L8" s="7" t="inlineStr">
        <is>
          <t>Э11</t>
        </is>
      </c>
      <c r="M8" s="7" t="inlineStr">
        <is>
          <t>нетто 6.47 м² × 1.08 → упаковка 0.5 м²</t>
        </is>
      </c>
    </row>
    <row r="9">
      <c r="A9" s="7" t="n">
        <v>5</v>
      </c>
      <c r="B9" s="7" t="inlineStr">
        <is>
          <t>Клей дисперсионный для LVT (0,35 кг/м²)</t>
        </is>
      </c>
      <c r="C9" s="7" t="inlineStr">
        <is>
          <t>Bostik / Forbo / Homakoll</t>
        </is>
      </c>
      <c r="D9" s="7" t="inlineStr">
        <is>
          <t>Homakoll</t>
        </is>
      </c>
      <c r="E9" s="8" t="n">
        <v>3</v>
      </c>
      <c r="F9" s="7" t="inlineStr">
        <is>
          <t>кг</t>
        </is>
      </c>
      <c r="G9" s="9" t="n">
        <v>450</v>
      </c>
      <c r="H9" s="9">
        <f>E9*G9</f>
        <v/>
      </c>
      <c r="I9" s="7" t="inlineStr">
        <is>
          <t>R7</t>
        </is>
      </c>
      <c r="J9" s="7" t="inlineStr">
        <is>
          <t>P-BALC; M28</t>
        </is>
      </c>
      <c r="K9" s="7" t="inlineStr">
        <is>
          <t>Ремонт</t>
        </is>
      </c>
      <c r="L9" s="7" t="inlineStr">
        <is>
          <t>Э11</t>
        </is>
      </c>
      <c r="M9" s="7" t="inlineStr"/>
    </row>
    <row r="10">
      <c r="A10" s="7" t="n">
        <v>6</v>
      </c>
      <c r="B10" s="7" t="inlineStr">
        <is>
          <t>Керамогранит 60×60 «светлый камень» R10 ректификат (вход)</t>
        </is>
      </c>
      <c r="C10" s="7" t="inlineStr">
        <is>
          <t>Kerama Marazzi / Italon / Estima</t>
        </is>
      </c>
      <c r="D10" s="7" t="inlineStr">
        <is>
          <t>Kerama Marazzi</t>
        </is>
      </c>
      <c r="E10" s="8">
        <f>CEILING(1.89*1.1,1.44)</f>
        <v/>
      </c>
      <c r="F10" s="7" t="inlineStr">
        <is>
          <t>м²</t>
        </is>
      </c>
      <c r="G10" s="9" t="n">
        <v>3900</v>
      </c>
      <c r="H10" s="9">
        <f>E10*G10</f>
        <v/>
      </c>
      <c r="I10" s="7" t="inlineStr">
        <is>
          <t>R4</t>
        </is>
      </c>
      <c r="J10" s="7" t="inlineStr">
        <is>
          <t>floors porcelain_60x60_hall; M16</t>
        </is>
      </c>
      <c r="K10" s="7" t="inlineStr">
        <is>
          <t>Ремонт</t>
        </is>
      </c>
      <c r="L10" s="7" t="inlineStr">
        <is>
          <t>Э08</t>
        </is>
      </c>
      <c r="M10" s="7" t="inlineStr">
        <is>
          <t>нетто 1.89 м² × 1.1 → упаковка 1.44 м²</t>
        </is>
      </c>
    </row>
    <row r="11">
      <c r="A11" s="7" t="n">
        <v>7</v>
      </c>
      <c r="B11" s="7" t="inlineStr">
        <is>
          <t>Керамогранит 60×60 «светлый мрамор» R10 ректификат (ванная, постирочная)</t>
        </is>
      </c>
      <c r="C11" s="7" t="inlineStr">
        <is>
          <t>Italon Charme Evo / Kerama Marazzi</t>
        </is>
      </c>
      <c r="D11" s="7" t="inlineStr">
        <is>
          <t>Italon</t>
        </is>
      </c>
      <c r="E11" s="8">
        <f>CEILING(5.85*1.1,1.44)</f>
        <v/>
      </c>
      <c r="F11" s="7" t="inlineStr">
        <is>
          <t>м²</t>
        </is>
      </c>
      <c r="G11" s="9" t="n">
        <v>4500</v>
      </c>
      <c r="H11" s="9">
        <f>E11*G11</f>
        <v/>
      </c>
      <c r="I11" s="7" t="inlineStr">
        <is>
          <t>R5, R6</t>
        </is>
      </c>
      <c r="J11" s="7" t="inlineStr">
        <is>
          <t>floors porcelain_60x60_bath + _laundry; M20, M25</t>
        </is>
      </c>
      <c r="K11" s="7" t="inlineStr">
        <is>
          <t>Ремонт</t>
        </is>
      </c>
      <c r="L11" s="7" t="inlineStr">
        <is>
          <t>Э08</t>
        </is>
      </c>
      <c r="M11" s="7" t="inlineStr">
        <is>
          <t>нетто 5.85 м² × 1.1 → упаковка 1.44 м²</t>
        </is>
      </c>
    </row>
    <row r="12">
      <c r="A12" s="7" t="n">
        <v>8</v>
      </c>
      <c r="B12" s="7" t="inlineStr">
        <is>
          <t>Керамогранит 60×120 «светлый мрамор» R10/B (пол душа, уклон к трапу)</t>
        </is>
      </c>
      <c r="C12" s="7" t="inlineStr">
        <is>
          <t>Italon Charme Evo (структ.)</t>
        </is>
      </c>
      <c r="D12" s="7" t="inlineStr">
        <is>
          <t>Italon</t>
        </is>
      </c>
      <c r="E12" s="8">
        <f>CEILING(0.71*1.15,1.44)</f>
        <v/>
      </c>
      <c r="F12" s="7" t="inlineStr">
        <is>
          <t>м²</t>
        </is>
      </c>
      <c r="G12" s="9" t="n">
        <v>5900</v>
      </c>
      <c r="H12" s="9">
        <f>E12*G12</f>
        <v/>
      </c>
      <c r="I12" s="7" t="inlineStr">
        <is>
          <t>R5</t>
        </is>
      </c>
      <c r="J12" s="7" t="inlineStr">
        <is>
          <t>floors porcelain_60x120_shower_R10B; M20</t>
        </is>
      </c>
      <c r="K12" s="7" t="inlineStr">
        <is>
          <t>Ремонт</t>
        </is>
      </c>
      <c r="L12" s="7" t="inlineStr">
        <is>
          <t>Э08</t>
        </is>
      </c>
      <c r="M12" s="7" t="inlineStr">
        <is>
          <t>нетто 0.71 м² × 1.15 → упаковка 1.44 м²</t>
        </is>
      </c>
    </row>
    <row r="13">
      <c r="A13" s="7" t="n">
        <v>9</v>
      </c>
      <c r="B13" s="7" t="inlineStr">
        <is>
          <t>Керамогранит 60×120 «светлый мрамор» матовый — стены ванной (мокрые зоны до потолка + до +1280) и фартук кухни</t>
        </is>
      </c>
      <c r="C13" s="7" t="inlineStr">
        <is>
          <t>Italon Charme Evo / Kerama Marazzi</t>
        </is>
      </c>
      <c r="D13" s="7" t="inlineStr">
        <is>
          <t>Italon</t>
        </is>
      </c>
      <c r="E13" s="8">
        <f>CEILING(18.3*1.15,1.44)</f>
        <v/>
      </c>
      <c r="F13" s="7" t="inlineStr">
        <is>
          <t>м²</t>
        </is>
      </c>
      <c r="G13" s="9" t="n">
        <v>5600</v>
      </c>
      <c r="H13" s="9">
        <f>E13*G13</f>
        <v/>
      </c>
      <c r="I13" s="7" t="inlineStr">
        <is>
          <t>R5, R3</t>
        </is>
      </c>
      <c r="J13" s="7" t="inlineStr">
        <is>
          <t>walls tile_wet + tile_dry + tile_apron_porcelain; M21, M13; АР-13, АР-11</t>
        </is>
      </c>
      <c r="K13" s="7" t="inlineStr">
        <is>
          <t>Ремонт</t>
        </is>
      </c>
      <c r="L13" s="7" t="inlineStr">
        <is>
          <t>Э08</t>
        </is>
      </c>
      <c r="M13" s="7" t="inlineStr">
        <is>
          <t>нетто 18.3 м² × 1.15 → упаковка 1.44 м²</t>
        </is>
      </c>
    </row>
    <row r="14">
      <c r="A14" s="7" t="n">
        <v>10</v>
      </c>
      <c r="B14" s="7" t="inlineStr">
        <is>
          <t>Плитка «кабанчик» матовая (фартук хозмойки)</t>
        </is>
      </c>
      <c r="C14" s="7" t="inlineStr">
        <is>
          <t>Kerama Marazzi «Метро» / Estima</t>
        </is>
      </c>
      <c r="D14" s="7" t="inlineStr">
        <is>
          <t>Kerama Marazzi</t>
        </is>
      </c>
      <c r="E14" s="8">
        <f>CEILING(0.77*1.1,1.0)</f>
        <v/>
      </c>
      <c r="F14" s="7" t="inlineStr">
        <is>
          <t>м²</t>
        </is>
      </c>
      <c r="G14" s="9" t="n">
        <v>2600</v>
      </c>
      <c r="H14" s="9">
        <f>E14*G14</f>
        <v/>
      </c>
      <c r="I14" s="7" t="inlineStr">
        <is>
          <t>R6</t>
        </is>
      </c>
      <c r="J14" s="7" t="inlineStr">
        <is>
          <t>walls tile_apron; M27; АР-14</t>
        </is>
      </c>
      <c r="K14" s="7" t="inlineStr">
        <is>
          <t>Ремонт</t>
        </is>
      </c>
      <c r="L14" s="7" t="inlineStr">
        <is>
          <t>Э08</t>
        </is>
      </c>
      <c r="M14" s="7" t="inlineStr">
        <is>
          <t>нетто 0.77 м² × 1.1 → упаковка 1.0 м²</t>
        </is>
      </c>
    </row>
    <row r="15">
      <c r="A15" s="7" t="n">
        <v>11</v>
      </c>
      <c r="B15" s="7" t="inlineStr">
        <is>
          <t>Клей плиточный C2TE S1 для ТП и крупного формата (пол 7 кг/м², стены 6 кг/м²)</t>
        </is>
      </c>
      <c r="C15" s="7" t="inlineStr">
        <is>
          <t>Litokol Hyperflex K100 / Ceresit CM 17</t>
        </is>
      </c>
      <c r="D15" s="7" t="inlineStr">
        <is>
          <t>Litokol</t>
        </is>
      </c>
      <c r="E15" s="8">
        <f>CEILING((8.45*7+19.07*6)/25,1)</f>
        <v/>
      </c>
      <c r="F15" s="7" t="inlineStr">
        <is>
          <t>меш. 25 кг</t>
        </is>
      </c>
      <c r="G15" s="9" t="n">
        <v>1250</v>
      </c>
      <c r="H15" s="9">
        <f>E15*G15</f>
        <v/>
      </c>
      <c r="I15" s="7" t="inlineStr">
        <is>
          <t>R3–R6</t>
        </is>
      </c>
      <c r="J15" s="7" t="inlineStr">
        <is>
          <t>floors/walls tile_*</t>
        </is>
      </c>
      <c r="K15" s="7" t="inlineStr">
        <is>
          <t>Ремонт</t>
        </is>
      </c>
      <c r="L15" s="7" t="inlineStr">
        <is>
          <t>Э08</t>
        </is>
      </c>
      <c r="M15" s="7" t="inlineStr"/>
    </row>
    <row r="16">
      <c r="A16" s="7" t="n">
        <v>12</v>
      </c>
      <c r="B16" s="7" t="inlineStr">
        <is>
          <t>Затирка эпоксидная (ванная, 0,35 кг/м²)</t>
        </is>
      </c>
      <c r="C16" s="7" t="inlineStr">
        <is>
          <t>Litokol Starlike EVO</t>
        </is>
      </c>
      <c r="D16" s="7" t="inlineStr">
        <is>
          <t>Litokol</t>
        </is>
      </c>
      <c r="E16" s="8" t="n">
        <v>7</v>
      </c>
      <c r="F16" s="7" t="inlineStr">
        <is>
          <t>кг</t>
        </is>
      </c>
      <c r="G16" s="9" t="n">
        <v>1900</v>
      </c>
      <c r="H16" s="9">
        <f>E16*G16</f>
        <v/>
      </c>
      <c r="I16" s="7" t="inlineStr">
        <is>
          <t>R5</t>
        </is>
      </c>
      <c r="J16" s="7" t="inlineStr">
        <is>
          <t>M21</t>
        </is>
      </c>
      <c r="K16" s="7" t="inlineStr">
        <is>
          <t>Ремонт</t>
        </is>
      </c>
      <c r="L16" s="7" t="inlineStr">
        <is>
          <t>Э08</t>
        </is>
      </c>
      <c r="M16" s="7" t="inlineStr"/>
    </row>
    <row r="17">
      <c r="A17" s="7" t="n">
        <v>13</v>
      </c>
      <c r="B17" s="7" t="inlineStr">
        <is>
          <t>Затирка цементная (прихожая, постирочная, фартуки, 0,3 кг/м²)</t>
        </is>
      </c>
      <c r="C17" s="7" t="inlineStr">
        <is>
          <t>Litokol Litochrom</t>
        </is>
      </c>
      <c r="D17" s="7" t="inlineStr">
        <is>
          <t>Litokol</t>
        </is>
      </c>
      <c r="E17" s="8" t="n">
        <v>3</v>
      </c>
      <c r="F17" s="7" t="inlineStr">
        <is>
          <t>кг</t>
        </is>
      </c>
      <c r="G17" s="9" t="n">
        <v>350</v>
      </c>
      <c r="H17" s="9">
        <f>E17*G17</f>
        <v/>
      </c>
      <c r="I17" s="7" t="inlineStr">
        <is>
          <t>R3, R4, R6</t>
        </is>
      </c>
      <c r="J17" s="7" t="inlineStr">
        <is>
          <t>tile_*</t>
        </is>
      </c>
      <c r="K17" s="7" t="inlineStr">
        <is>
          <t>Ремонт</t>
        </is>
      </c>
      <c r="L17" s="7" t="inlineStr">
        <is>
          <t>Э08</t>
        </is>
      </c>
      <c r="M17" s="7" t="inlineStr"/>
    </row>
    <row r="18">
      <c r="A18" s="7" t="n">
        <v>14</v>
      </c>
      <c r="B18" s="7" t="inlineStr">
        <is>
          <t>Система выравнивания плитки (СВП: клипсы, клинья)</t>
        </is>
      </c>
      <c r="C18" s="7" t="inlineStr">
        <is>
          <t>—</t>
        </is>
      </c>
      <c r="D18" s="7" t="inlineStr">
        <is>
          <t>—</t>
        </is>
      </c>
      <c r="E18" s="8" t="n">
        <v>28</v>
      </c>
      <c r="F18" s="7" t="inlineStr">
        <is>
          <t>м²</t>
        </is>
      </c>
      <c r="G18" s="9" t="n">
        <v>120</v>
      </c>
      <c r="H18" s="9">
        <f>E18*G18</f>
        <v/>
      </c>
      <c r="I18" s="7" t="inlineStr">
        <is>
          <t>R3–R6</t>
        </is>
      </c>
      <c r="J18" s="7" t="inlineStr">
        <is>
          <t>tile_*</t>
        </is>
      </c>
      <c r="K18" s="7" t="inlineStr">
        <is>
          <t>Ремонт</t>
        </is>
      </c>
      <c r="L18" s="7" t="inlineStr">
        <is>
          <t>Э08</t>
        </is>
      </c>
      <c r="M18" s="7" t="inlineStr"/>
    </row>
    <row r="19">
      <c r="A19" s="7" t="n">
        <v>15</v>
      </c>
      <c r="B19" s="7" t="inlineStr">
        <is>
          <t>Профиль латунь для плитки 10 мм (линия +1280 и обрамление ниш)</t>
        </is>
      </c>
      <c r="C19" s="7" t="inlineStr">
        <is>
          <t>Progress Profiles / Butech</t>
        </is>
      </c>
      <c r="D19" s="7" t="inlineStr">
        <is>
          <t>Progress Profiles</t>
        </is>
      </c>
      <c r="E19" s="8" t="n">
        <v>10.8</v>
      </c>
      <c r="F19" s="7" t="inlineStr">
        <is>
          <t>м</t>
        </is>
      </c>
      <c r="G19" s="9" t="n">
        <v>1500</v>
      </c>
      <c r="H19" s="9">
        <f>E19*G19</f>
        <v/>
      </c>
      <c r="I19" s="7" t="inlineStr">
        <is>
          <t>R5</t>
        </is>
      </c>
      <c r="J19" s="7" t="inlineStr">
        <is>
          <t>walls tile_dry (Σ длин 5.57); ниши 3.3 м; M21</t>
        </is>
      </c>
      <c r="K19" s="7" t="inlineStr">
        <is>
          <t>Ремонт</t>
        </is>
      </c>
      <c r="L19" s="7" t="inlineStr">
        <is>
          <t>Э08</t>
        </is>
      </c>
      <c r="M19" s="7" t="inlineStr"/>
    </row>
    <row r="20">
      <c r="A20" s="7" t="n">
        <v>16</v>
      </c>
      <c r="B20" s="7" t="inlineStr">
        <is>
          <t>Порог-ступень D3 из керамогранита 800×100×90 (изготовление)</t>
        </is>
      </c>
      <c r="C20" s="7" t="inlineStr">
        <is>
          <t>серия C9</t>
        </is>
      </c>
      <c r="D20" s="7" t="inlineStr">
        <is>
          <t>мастерская</t>
        </is>
      </c>
      <c r="E20" s="8" t="n">
        <v>1</v>
      </c>
      <c r="F20" s="7" t="inlineStr">
        <is>
          <t>шт</t>
        </is>
      </c>
      <c r="G20" s="9" t="n">
        <v>4500</v>
      </c>
      <c r="H20" s="9">
        <f>E20*G20</f>
        <v/>
      </c>
      <c r="I20" s="7" t="inlineStr">
        <is>
          <t>R5</t>
        </is>
      </c>
      <c r="J20" s="7" t="inlineStr">
        <is>
          <t>J5; узел 5; D20</t>
        </is>
      </c>
      <c r="K20" s="7" t="inlineStr">
        <is>
          <t>Ремонт</t>
        </is>
      </c>
      <c r="L20" s="7" t="inlineStr">
        <is>
          <t>Э08</t>
        </is>
      </c>
      <c r="M20" s="7" t="inlineStr"/>
    </row>
    <row r="21">
      <c r="A21" s="7" t="n">
        <v>17</v>
      </c>
      <c r="B21" s="7" t="inlineStr">
        <is>
          <t>Порог-ограничитель D4 800×80×15 (керамогранит/камень, скругл.)</t>
        </is>
      </c>
      <c r="C21" s="7" t="inlineStr">
        <is>
          <t>—</t>
        </is>
      </c>
      <c r="D21" s="7" t="inlineStr">
        <is>
          <t>мастерская</t>
        </is>
      </c>
      <c r="E21" s="8" t="n">
        <v>1</v>
      </c>
      <c r="F21" s="7" t="inlineStr">
        <is>
          <t>шт</t>
        </is>
      </c>
      <c r="G21" s="9" t="n">
        <v>2500</v>
      </c>
      <c r="H21" s="9">
        <f>E21*G21</f>
        <v/>
      </c>
      <c r="I21" s="7" t="inlineStr">
        <is>
          <t>R6</t>
        </is>
      </c>
      <c r="J21" s="7" t="inlineStr">
        <is>
          <t>J6; D4</t>
        </is>
      </c>
      <c r="K21" s="7" t="inlineStr">
        <is>
          <t>Ремонт</t>
        </is>
      </c>
      <c r="L21" s="7" t="inlineStr">
        <is>
          <t>Э08</t>
        </is>
      </c>
      <c r="M21" s="7" t="inlineStr"/>
    </row>
    <row r="22">
      <c r="A22" s="7" t="n">
        <v>18</v>
      </c>
      <c r="B22" s="7" t="inlineStr">
        <is>
          <t>Гидроизоляция обмазочная 2-компонентная (2 слоя, 2,8 кг/м²; пол ванной — нижняя + основная)</t>
        </is>
      </c>
      <c r="C22" s="7" t="inlineStr">
        <is>
          <t>Mapei Mapelastic / Ceresit CL 51</t>
        </is>
      </c>
      <c r="D22" s="7" t="inlineStr">
        <is>
          <t>Mapei</t>
        </is>
      </c>
      <c r="E22" s="8">
        <f>CEILING(26.56*2.8,1)</f>
        <v/>
      </c>
      <c r="F22" s="7" t="inlineStr">
        <is>
          <t>кг</t>
        </is>
      </c>
      <c r="G22" s="9" t="n">
        <v>420</v>
      </c>
      <c r="H22" s="9">
        <f>E22*G22</f>
        <v/>
      </c>
      <c r="I22" s="7" t="inlineStr">
        <is>
          <t>R5, R6</t>
        </is>
      </c>
      <c r="J22" s="7" t="inlineStr">
        <is>
          <t>floors waterproofing_floor ×(2 в R5) + waterproofing_walls = 26.56 м²</t>
        </is>
      </c>
      <c r="K22" s="7" t="inlineStr">
        <is>
          <t>Ремонт</t>
        </is>
      </c>
      <c r="L22" s="7" t="inlineStr">
        <is>
          <t>Э06</t>
        </is>
      </c>
      <c r="M22" s="7" t="inlineStr"/>
    </row>
    <row r="23">
      <c r="A23" s="7" t="n">
        <v>19</v>
      </c>
      <c r="B23" s="7" t="inlineStr">
        <is>
          <t>Ленты, углы, манжеты, фланец трапа (комплект на помещение)</t>
        </is>
      </c>
      <c r="C23" s="7" t="inlineStr">
        <is>
          <t>Mapei Mapeband</t>
        </is>
      </c>
      <c r="D23" s="7" t="inlineStr">
        <is>
          <t>Mapei</t>
        </is>
      </c>
      <c r="E23" s="8" t="n">
        <v>2</v>
      </c>
      <c r="F23" s="7" t="inlineStr">
        <is>
          <t>компл</t>
        </is>
      </c>
      <c r="G23" s="9" t="n">
        <v>6500</v>
      </c>
      <c r="H23" s="9">
        <f>E23*G23</f>
        <v/>
      </c>
      <c r="I23" s="7" t="inlineStr">
        <is>
          <t>R5, R6</t>
        </is>
      </c>
      <c r="J23" s="7" t="inlineStr">
        <is>
          <t>узел 6</t>
        </is>
      </c>
      <c r="K23" s="7" t="inlineStr">
        <is>
          <t>Ремонт</t>
        </is>
      </c>
      <c r="L23" s="7" t="inlineStr">
        <is>
          <t>Э06</t>
        </is>
      </c>
      <c r="M23" s="7" t="inlineStr"/>
    </row>
    <row r="24">
      <c r="A24" s="7" t="n">
        <v>20</v>
      </c>
      <c r="B24" s="7" t="inlineStr">
        <is>
          <t>ЦПС М300 (подиум ванной 78,5 мм, фибра)</t>
        </is>
      </c>
      <c r="C24" s="7" t="inlineStr">
        <is>
          <t>Каменный цветок / Knauf</t>
        </is>
      </c>
      <c r="D24" s="7" t="inlineStr">
        <is>
          <t>—</t>
        </is>
      </c>
      <c r="E24" s="8">
        <f>CEILING(5.1*0.0785*2000/40,1)</f>
        <v/>
      </c>
      <c r="F24" s="7" t="inlineStr">
        <is>
          <t>меш. 40 кг</t>
        </is>
      </c>
      <c r="G24" s="9" t="n">
        <v>380</v>
      </c>
      <c r="H24" s="9">
        <f>E24*G24</f>
        <v/>
      </c>
      <c r="I24" s="7" t="inlineStr">
        <is>
          <t>R5</t>
        </is>
      </c>
      <c r="J24" s="7" t="inlineStr">
        <is>
          <t>floors podium_screed_80; P-BATH</t>
        </is>
      </c>
      <c r="K24" s="7" t="inlineStr">
        <is>
          <t>Ремонт</t>
        </is>
      </c>
      <c r="L24" s="7" t="inlineStr">
        <is>
          <t>Э06</t>
        </is>
      </c>
      <c r="M24" s="7" t="inlineStr"/>
    </row>
    <row r="25">
      <c r="A25" s="7" t="n">
        <v>21</v>
      </c>
      <c r="B25" s="7" t="inlineStr">
        <is>
          <t>Сетка Вр4 50×50 + фибра + демпферная лента (подиум, стяжка балкона)</t>
        </is>
      </c>
      <c r="C25" s="7" t="inlineStr">
        <is>
          <t>—</t>
        </is>
      </c>
      <c r="D25" s="7" t="inlineStr">
        <is>
          <t>—</t>
        </is>
      </c>
      <c r="E25" s="8" t="n">
        <v>14</v>
      </c>
      <c r="F25" s="7" t="inlineStr">
        <is>
          <t>м²</t>
        </is>
      </c>
      <c r="G25" s="9" t="n">
        <v>380</v>
      </c>
      <c r="H25" s="9">
        <f>E25*G25</f>
        <v/>
      </c>
      <c r="I25" s="7" t="inlineStr">
        <is>
          <t>R5, R7</t>
        </is>
      </c>
      <c r="J25" s="7" t="inlineStr">
        <is>
          <t>P-BATH, P-BALC; периметры R5 9.36 м, R7 10.67 м</t>
        </is>
      </c>
      <c r="K25" s="7" t="inlineStr">
        <is>
          <t>Ремонт</t>
        </is>
      </c>
      <c r="L25" s="7" t="inlineStr">
        <is>
          <t>Э06</t>
        </is>
      </c>
      <c r="M25" s="7" t="inlineStr"/>
    </row>
    <row r="26">
      <c r="A26" s="7" t="n">
        <v>22</v>
      </c>
      <c r="B26" s="7" t="inlineStr">
        <is>
          <t>Рамка-бортик U14 (ЦСП 20 / уголок нерж.)</t>
        </is>
      </c>
      <c r="C26" s="7" t="inlineStr">
        <is>
          <t>VK-C3</t>
        </is>
      </c>
      <c r="D26" s="7" t="inlineStr">
        <is>
          <t>—</t>
        </is>
      </c>
      <c r="E26" s="8" t="n">
        <v>1</v>
      </c>
      <c r="F26" s="7" t="inlineStr">
        <is>
          <t>шт</t>
        </is>
      </c>
      <c r="G26" s="9" t="n">
        <v>2500</v>
      </c>
      <c r="H26" s="9">
        <f>E26*G26</f>
        <v/>
      </c>
      <c r="I26" s="7" t="inlineStr">
        <is>
          <t>R5</t>
        </is>
      </c>
      <c r="J26" s="7" t="inlineStr">
        <is>
          <t>VK-C3; J7; узел 6</t>
        </is>
      </c>
      <c r="K26" s="7" t="inlineStr">
        <is>
          <t>Ремонт</t>
        </is>
      </c>
      <c r="L26" s="7" t="inlineStr">
        <is>
          <t>Э06</t>
        </is>
      </c>
      <c r="M26" s="7" t="inlineStr"/>
    </row>
    <row r="27">
      <c r="A27" s="7" t="n">
        <v>23</v>
      </c>
      <c r="B27" s="7" t="inlineStr">
        <is>
          <t>XPS 300 кПа 50 мм (пол балкона)</t>
        </is>
      </c>
      <c r="C27" s="7" t="inlineStr">
        <is>
          <t>Пеноплэкс Комфорт / Технониколь Carbon</t>
        </is>
      </c>
      <c r="D27" s="7" t="inlineStr">
        <is>
          <t>Пеноплэкс</t>
        </is>
      </c>
      <c r="E27" s="8" t="n">
        <v>7.92</v>
      </c>
      <c r="F27" s="7" t="inlineStr">
        <is>
          <t>м²</t>
        </is>
      </c>
      <c r="G27" s="9" t="n">
        <v>650</v>
      </c>
      <c r="H27" s="9">
        <f>E27*G27</f>
        <v/>
      </c>
      <c r="I27" s="7" t="inlineStr">
        <is>
          <t>R7</t>
        </is>
      </c>
      <c r="J27" s="7" t="inlineStr">
        <is>
          <t>floors xps50+screed55; P-BALC; D22</t>
        </is>
      </c>
      <c r="K27" s="7" t="inlineStr">
        <is>
          <t>Ремонт</t>
        </is>
      </c>
      <c r="L27" s="7" t="inlineStr">
        <is>
          <t>Э06</t>
        </is>
      </c>
      <c r="M27" s="7" t="inlineStr"/>
    </row>
    <row r="28">
      <c r="A28" s="7" t="n">
        <v>24</v>
      </c>
      <c r="B28" s="7" t="inlineStr">
        <is>
          <t>Плёнка ПЭ 200 мкм (нахлёст 100, завод на стены)</t>
        </is>
      </c>
      <c r="C28" s="7" t="inlineStr">
        <is>
          <t>—</t>
        </is>
      </c>
      <c r="D28" s="7" t="inlineStr">
        <is>
          <t>—</t>
        </is>
      </c>
      <c r="E28" s="8" t="n">
        <v>9</v>
      </c>
      <c r="F28" s="7" t="inlineStr">
        <is>
          <t>м²</t>
        </is>
      </c>
      <c r="G28" s="9" t="n">
        <v>45</v>
      </c>
      <c r="H28" s="9">
        <f>E28*G28</f>
        <v/>
      </c>
      <c r="I28" s="7" t="inlineStr">
        <is>
          <t>R7</t>
        </is>
      </c>
      <c r="J28" s="7" t="inlineStr">
        <is>
          <t>P-BALC</t>
        </is>
      </c>
      <c r="K28" s="7" t="inlineStr">
        <is>
          <t>Ремонт</t>
        </is>
      </c>
      <c r="L28" s="7" t="inlineStr">
        <is>
          <t>Э06</t>
        </is>
      </c>
      <c r="M28" s="7" t="inlineStr"/>
    </row>
    <row r="29">
      <c r="A29" s="7" t="n">
        <v>25</v>
      </c>
      <c r="B29" s="7" t="inlineStr">
        <is>
          <t>ЦПС М300 (стяжка балкона 55 мм)</t>
        </is>
      </c>
      <c r="C29" s="7" t="inlineStr">
        <is>
          <t>—</t>
        </is>
      </c>
      <c r="D29" s="7" t="inlineStr">
        <is>
          <t>—</t>
        </is>
      </c>
      <c r="E29" s="8">
        <f>CEILING(6.86*0.055*2000/40,1)</f>
        <v/>
      </c>
      <c r="F29" s="7" t="inlineStr">
        <is>
          <t>меш. 40 кг</t>
        </is>
      </c>
      <c r="G29" s="9" t="n">
        <v>380</v>
      </c>
      <c r="H29" s="9">
        <f>E29*G29</f>
        <v/>
      </c>
      <c r="I29" s="7" t="inlineStr">
        <is>
          <t>R7</t>
        </is>
      </c>
      <c r="J29" s="7" t="inlineStr">
        <is>
          <t>P-BALC</t>
        </is>
      </c>
      <c r="K29" s="7" t="inlineStr">
        <is>
          <t>Ремонт</t>
        </is>
      </c>
      <c r="L29" s="7" t="inlineStr">
        <is>
          <t>Э06</t>
        </is>
      </c>
      <c r="M29" s="7" t="inlineStr"/>
    </row>
    <row r="30">
      <c r="A30" s="7" t="n">
        <v>26</v>
      </c>
      <c r="B30" s="7" t="inlineStr">
        <is>
          <t>Самовыравнивающая смесь 10 мм по мату TP3 (16 кг/м²)</t>
        </is>
      </c>
      <c r="C30" s="7" t="inlineStr">
        <is>
          <t>Ceresit CN 175 / Knauf Боден</t>
        </is>
      </c>
      <c r="D30" s="7" t="inlineStr">
        <is>
          <t>Ceresit</t>
        </is>
      </c>
      <c r="E30" s="8" t="n">
        <v>5</v>
      </c>
      <c r="F30" s="7" t="inlineStr">
        <is>
          <t>меш. 25 кг</t>
        </is>
      </c>
      <c r="G30" s="9" t="n">
        <v>950</v>
      </c>
      <c r="H30" s="9">
        <f>E30*G30</f>
        <v/>
      </c>
      <c r="I30" s="7" t="inlineStr">
        <is>
          <t>R7</t>
        </is>
      </c>
      <c r="J30" s="7" t="inlineStr">
        <is>
          <t>P-BALC</t>
        </is>
      </c>
      <c r="K30" s="7" t="inlineStr">
        <is>
          <t>Ремонт</t>
        </is>
      </c>
      <c r="L30" s="7" t="inlineStr">
        <is>
          <t>Э06</t>
        </is>
      </c>
      <c r="M30" s="7" t="inlineStr"/>
    </row>
    <row r="31">
      <c r="A31" s="7" t="n">
        <v>27</v>
      </c>
      <c r="B31" s="7" t="inlineStr">
        <is>
          <t>Остекление балкона тёплое ПВХ 70 мм, 2-камерный энергосберегающий стеклопакет, наружное стекло триплекс P2A, фурнитура с детским замком, отливы, подоконник</t>
        </is>
      </c>
      <c r="C31" s="7" t="inlineStr">
        <is>
          <t>VEKA / Exprof / Rehau-класс</t>
        </is>
      </c>
      <c r="D31" s="7" t="inlineStr">
        <is>
          <t>переработчик СПб</t>
        </is>
      </c>
      <c r="E31" s="8" t="n">
        <v>10.5</v>
      </c>
      <c r="F31" s="7" t="inlineStr">
        <is>
          <t>м²</t>
        </is>
      </c>
      <c r="G31" s="9" t="n">
        <v>21000</v>
      </c>
      <c r="H31" s="9">
        <f>E31*G31</f>
        <v/>
      </c>
      <c r="I31" s="7" t="inlineStr">
        <is>
          <t>R7</t>
        </is>
      </c>
      <c r="J31" s="7" t="inlineStr">
        <is>
          <t>electrical.json balcony_heat_balance (остекление 10,5 м²); M32; №12</t>
        </is>
      </c>
      <c r="K31" s="7" t="inlineStr">
        <is>
          <t>Ремонт</t>
        </is>
      </c>
      <c r="L31" s="7" t="inlineStr">
        <is>
          <t>Э03</t>
        </is>
      </c>
      <c r="M31" s="7" t="inlineStr">
        <is>
          <t>поставка; монтаж — в работах</t>
        </is>
      </c>
    </row>
    <row r="32">
      <c r="A32" s="7" t="n">
        <v>28</v>
      </c>
      <c r="B32" s="7" t="inlineStr">
        <is>
          <t>Оконный приточный клапан в раме (гигрорегулируемый)</t>
        </is>
      </c>
      <c r="C32" s="7" t="inlineStr">
        <is>
          <t>Aereco / Air-Box</t>
        </is>
      </c>
      <c r="D32" s="7" t="inlineStr">
        <is>
          <t>Aereco</t>
        </is>
      </c>
      <c r="E32" s="8" t="n">
        <v>2</v>
      </c>
      <c r="F32" s="7" t="inlineStr">
        <is>
          <t>шт</t>
        </is>
      </c>
      <c r="G32" s="9" t="n">
        <v>3500</v>
      </c>
      <c r="H32" s="9">
        <f>E32*G32</f>
        <v/>
      </c>
      <c r="I32" s="7" t="inlineStr">
        <is>
          <t>R7</t>
        </is>
      </c>
      <c r="J32" s="7" t="inlineStr">
        <is>
          <t>SV1, SV2; ОВ-02</t>
        </is>
      </c>
      <c r="K32" s="7" t="inlineStr">
        <is>
          <t>Ремонт</t>
        </is>
      </c>
      <c r="L32" s="7" t="inlineStr">
        <is>
          <t>Э03</t>
        </is>
      </c>
      <c r="M32" s="7" t="inlineStr"/>
    </row>
    <row r="33">
      <c r="A33" s="7" t="n">
        <v>29</v>
      </c>
      <c r="B33" s="7" t="inlineStr">
        <is>
          <t>Утеплитель PIR 50 фольгированный (парапеты, потолок балкона)</t>
        </is>
      </c>
      <c r="C33" s="7" t="inlineStr">
        <is>
          <t>Logicpir / Технониколь</t>
        </is>
      </c>
      <c r="D33" s="7" t="inlineStr">
        <is>
          <t>Технониколь</t>
        </is>
      </c>
      <c r="E33" s="8" t="n">
        <v>14.4</v>
      </c>
      <c r="F33" s="7" t="inlineStr">
        <is>
          <t>м²</t>
        </is>
      </c>
      <c r="G33" s="9" t="n">
        <v>1050</v>
      </c>
      <c r="H33" s="9">
        <f>E33*G33</f>
        <v/>
      </c>
      <c r="I33" s="7" t="inlineStr">
        <is>
          <t>R7</t>
        </is>
      </c>
      <c r="J33" s="7" t="inlineStr">
        <is>
          <t>walls gvl+paint_c6 7.05 + ceilings R7 6.08; M29, M30</t>
        </is>
      </c>
      <c r="K33" s="7" t="inlineStr">
        <is>
          <t>Ремонт</t>
        </is>
      </c>
      <c r="L33" s="7" t="inlineStr">
        <is>
          <t>Э03</t>
        </is>
      </c>
      <c r="M33" s="7" t="inlineStr"/>
    </row>
    <row r="34">
      <c r="A34" s="7" t="n">
        <v>30</v>
      </c>
      <c r="B34" s="7" t="inlineStr">
        <is>
          <t>Лента алюминиевая, пароизоляция примыканий, пена</t>
        </is>
      </c>
      <c r="C34" s="7" t="inlineStr">
        <is>
          <t>—</t>
        </is>
      </c>
      <c r="D34" s="7" t="inlineStr">
        <is>
          <t>—</t>
        </is>
      </c>
      <c r="E34" s="8" t="n">
        <v>1</v>
      </c>
      <c r="F34" s="7" t="inlineStr">
        <is>
          <t>компл</t>
        </is>
      </c>
      <c r="G34" s="9" t="n">
        <v>4500</v>
      </c>
      <c r="H34" s="9">
        <f>E34*G34</f>
        <v/>
      </c>
      <c r="I34" s="7" t="inlineStr">
        <is>
          <t>R7</t>
        </is>
      </c>
      <c r="J34" s="7" t="inlineStr">
        <is>
          <t>M29</t>
        </is>
      </c>
      <c r="K34" s="7" t="inlineStr">
        <is>
          <t>Ремонт</t>
        </is>
      </c>
      <c r="L34" s="7" t="inlineStr">
        <is>
          <t>Э03</t>
        </is>
      </c>
      <c r="M34" s="7" t="inlineStr"/>
    </row>
    <row r="35">
      <c r="A35" s="7" t="n">
        <v>31</v>
      </c>
      <c r="B35" s="7" t="inlineStr">
        <is>
          <t>ГВЛ 12,5 (обшивка парапетов) 2500×1200</t>
        </is>
      </c>
      <c r="C35" s="7" t="inlineStr">
        <is>
          <t>Knauf ГВЛ</t>
        </is>
      </c>
      <c r="D35" s="7" t="inlineStr">
        <is>
          <t>Knauf</t>
        </is>
      </c>
      <c r="E35" s="8" t="n">
        <v>3</v>
      </c>
      <c r="F35" s="7" t="inlineStr">
        <is>
          <t>лист</t>
        </is>
      </c>
      <c r="G35" s="9" t="n">
        <v>780</v>
      </c>
      <c r="H35" s="9">
        <f>E35*G35</f>
        <v/>
      </c>
      <c r="I35" s="7" t="inlineStr">
        <is>
          <t>R7</t>
        </is>
      </c>
      <c r="J35" s="7" t="inlineStr">
        <is>
          <t>walls gvl+paint_c6</t>
        </is>
      </c>
      <c r="K35" s="7" t="inlineStr">
        <is>
          <t>Ремонт</t>
        </is>
      </c>
      <c r="L35" s="7" t="inlineStr">
        <is>
          <t>Э03</t>
        </is>
      </c>
      <c r="M35" s="7" t="inlineStr"/>
    </row>
    <row r="36">
      <c r="A36" s="7" t="n">
        <v>32</v>
      </c>
      <c r="B36" s="7" t="inlineStr">
        <is>
          <t>Каркас для обшивки парапетов (ПП 60/27, ПН, подвесы, крепёж)</t>
        </is>
      </c>
      <c r="C36" s="7" t="inlineStr">
        <is>
          <t>Knauf</t>
        </is>
      </c>
      <c r="D36" s="7" t="inlineStr">
        <is>
          <t>Knauf</t>
        </is>
      </c>
      <c r="E36" s="8" t="n">
        <v>8</v>
      </c>
      <c r="F36" s="7" t="inlineStr">
        <is>
          <t>м²</t>
        </is>
      </c>
      <c r="G36" s="9" t="n">
        <v>450</v>
      </c>
      <c r="H36" s="9">
        <f>E36*G36</f>
        <v/>
      </c>
      <c r="I36" s="7" t="inlineStr">
        <is>
          <t>R7</t>
        </is>
      </c>
      <c r="J36" s="7" t="inlineStr">
        <is>
          <t>walls gvl+paint_c6</t>
        </is>
      </c>
      <c r="K36" s="7" t="inlineStr">
        <is>
          <t>Ремонт</t>
        </is>
      </c>
      <c r="L36" s="7" t="inlineStr">
        <is>
          <t>Э03</t>
        </is>
      </c>
      <c r="M36" s="7" t="inlineStr"/>
    </row>
    <row r="37">
      <c r="A37" s="7" t="n">
        <v>33</v>
      </c>
      <c r="B37" s="7" t="inlineStr">
        <is>
          <t>ПГП полнотелая 667×500×100 (NW1)</t>
        </is>
      </c>
      <c r="C37" s="7" t="inlineStr">
        <is>
          <t>Волма / Knauf</t>
        </is>
      </c>
      <c r="D37" s="7" t="inlineStr">
        <is>
          <t>Волма</t>
        </is>
      </c>
      <c r="E37" s="8" t="n">
        <v>16</v>
      </c>
      <c r="F37" s="7" t="inlineStr">
        <is>
          <t>шт</t>
        </is>
      </c>
      <c r="G37" s="9" t="n">
        <v>520</v>
      </c>
      <c r="H37" s="9">
        <f>E37*G37</f>
        <v/>
      </c>
      <c r="I37" s="7" t="inlineStr">
        <is>
          <t>R1/R3</t>
        </is>
      </c>
      <c r="J37" s="7" t="inlineStr">
        <is>
          <t>NW1 4.87 м²; planning.json new_walls</t>
        </is>
      </c>
      <c r="K37" s="7" t="inlineStr">
        <is>
          <t>Ремонт</t>
        </is>
      </c>
      <c r="L37" s="7" t="inlineStr">
        <is>
          <t>Э02</t>
        </is>
      </c>
      <c r="M37" s="7" t="inlineStr"/>
    </row>
    <row r="38">
      <c r="A38" s="7" t="n">
        <v>34</v>
      </c>
      <c r="B38" s="7" t="inlineStr">
        <is>
          <t>ПГП полнотелая 667×500×80 (NW4, добор D1)</t>
        </is>
      </c>
      <c r="C38" s="7" t="inlineStr">
        <is>
          <t>Волма / Knauf</t>
        </is>
      </c>
      <c r="D38" s="7" t="inlineStr">
        <is>
          <t>Волма</t>
        </is>
      </c>
      <c r="E38" s="8" t="n">
        <v>7</v>
      </c>
      <c r="F38" s="7" t="inlineStr">
        <is>
          <t>шт</t>
        </is>
      </c>
      <c r="G38" s="9" t="n">
        <v>400</v>
      </c>
      <c r="H38" s="9">
        <f>E38*G38</f>
        <v/>
      </c>
      <c r="I38" s="7" t="inlineStr">
        <is>
          <t>R2/R4, R1</t>
        </is>
      </c>
      <c r="J38" s="7" t="inlineStr">
        <is>
          <t>NW4 1.66 м² (за вычетом проёма D2) + добор 199 0.54 м²</t>
        </is>
      </c>
      <c r="K38" s="7" t="inlineStr">
        <is>
          <t>Ремонт</t>
        </is>
      </c>
      <c r="L38" s="7" t="inlineStr">
        <is>
          <t>Э02</t>
        </is>
      </c>
      <c r="M38" s="7" t="inlineStr"/>
    </row>
    <row r="39">
      <c r="A39" s="7" t="n">
        <v>35</v>
      </c>
      <c r="B39" s="7" t="inlineStr">
        <is>
          <t>ПГП гидрофобизированная 667×500×80 (NW8, NW9)</t>
        </is>
      </c>
      <c r="C39" s="7" t="inlineStr">
        <is>
          <t>Волма / Knauf</t>
        </is>
      </c>
      <c r="D39" s="7" t="inlineStr">
        <is>
          <t>Волма</t>
        </is>
      </c>
      <c r="E39" s="8" t="n">
        <v>7</v>
      </c>
      <c r="F39" s="7" t="inlineStr">
        <is>
          <t>шт</t>
        </is>
      </c>
      <c r="G39" s="9" t="n">
        <v>450</v>
      </c>
      <c r="H39" s="9">
        <f>E39*G39</f>
        <v/>
      </c>
      <c r="I39" s="7" t="inlineStr">
        <is>
          <t>R5, R6</t>
        </is>
      </c>
      <c r="J39" s="7" t="inlineStr">
        <is>
          <t>NW8 1.01 + NW9 1.13 м²</t>
        </is>
      </c>
      <c r="K39" s="7" t="inlineStr">
        <is>
          <t>Ремонт</t>
        </is>
      </c>
      <c r="L39" s="7" t="inlineStr">
        <is>
          <t>Э02</t>
        </is>
      </c>
      <c r="M39" s="7" t="inlineStr"/>
    </row>
    <row r="40">
      <c r="A40" s="7" t="n">
        <v>36</v>
      </c>
      <c r="B40" s="7" t="inlineStr">
        <is>
          <t>Клей гипсовый монтажный для ПГП (2 кг/м²) + ГКЛ на клей NW1</t>
        </is>
      </c>
      <c r="C40" s="7" t="inlineStr">
        <is>
          <t>Волма Монтаж / Knauf Перлфикс</t>
        </is>
      </c>
      <c r="D40" s="7" t="inlineStr">
        <is>
          <t>Волма</t>
        </is>
      </c>
      <c r="E40" s="8" t="n">
        <v>2</v>
      </c>
      <c r="F40" s="7" t="inlineStr">
        <is>
          <t>меш. 30 кг</t>
        </is>
      </c>
      <c r="G40" s="9" t="n">
        <v>620</v>
      </c>
      <c r="H40" s="9">
        <f>E40*G40</f>
        <v/>
      </c>
      <c r="I40" s="7" t="inlineStr">
        <is>
          <t>—</t>
        </is>
      </c>
      <c r="J40" s="7" t="inlineStr">
        <is>
          <t>new_walls</t>
        </is>
      </c>
      <c r="K40" s="7" t="inlineStr">
        <is>
          <t>Ремонт</t>
        </is>
      </c>
      <c r="L40" s="7" t="inlineStr">
        <is>
          <t>Э02</t>
        </is>
      </c>
      <c r="M40" s="7" t="inlineStr"/>
    </row>
    <row r="41">
      <c r="A41" s="7" t="n">
        <v>37</v>
      </c>
      <c r="B41" s="7" t="inlineStr">
        <is>
          <t>Лента демпферная 10 мм + скобы/гибкие связи (без дюбелей в пол, D3)</t>
        </is>
      </c>
      <c r="C41" s="7" t="inlineStr">
        <is>
          <t>—</t>
        </is>
      </c>
      <c r="D41" s="7" t="inlineStr">
        <is>
          <t>—</t>
        </is>
      </c>
      <c r="E41" s="8" t="n">
        <v>31</v>
      </c>
      <c r="F41" s="7" t="inlineStr">
        <is>
          <t>м</t>
        </is>
      </c>
      <c r="G41" s="9" t="n">
        <v>120</v>
      </c>
      <c r="H41" s="9">
        <f>E41*G41</f>
        <v/>
      </c>
      <c r="I41" s="7" t="inlineStr">
        <is>
          <t>—</t>
        </is>
      </c>
      <c r="J41" s="7" t="inlineStr">
        <is>
          <t>new_walls: периметры NW1, NW4, NW8, NW9 = 30.18 м</t>
        </is>
      </c>
      <c r="K41" s="7" t="inlineStr">
        <is>
          <t>Ремонт</t>
        </is>
      </c>
      <c r="L41" s="7" t="inlineStr">
        <is>
          <t>Э02</t>
        </is>
      </c>
      <c r="M41" s="7" t="inlineStr"/>
    </row>
    <row r="42">
      <c r="A42" s="7" t="n">
        <v>38</v>
      </c>
      <c r="B42" s="7" t="inlineStr">
        <is>
          <t>Перемычка (уголок) над новыми проёмами D3, D4</t>
        </is>
      </c>
      <c r="C42" s="7" t="inlineStr">
        <is>
          <t>—</t>
        </is>
      </c>
      <c r="D42" s="7" t="inlineStr">
        <is>
          <t>—</t>
        </is>
      </c>
      <c r="E42" s="8" t="n">
        <v>2</v>
      </c>
      <c r="F42" s="7" t="inlineStr">
        <is>
          <t>шт</t>
        </is>
      </c>
      <c r="G42" s="9" t="n">
        <v>1200</v>
      </c>
      <c r="H42" s="9">
        <f>E42*G42</f>
        <v/>
      </c>
      <c r="I42" s="7" t="inlineStr">
        <is>
          <t>R5, R6</t>
        </is>
      </c>
      <c r="J42" s="7" t="inlineStr">
        <is>
          <t>W12-cut, W11-cut</t>
        </is>
      </c>
      <c r="K42" s="7" t="inlineStr">
        <is>
          <t>Ремонт</t>
        </is>
      </c>
      <c r="L42" s="7" t="inlineStr">
        <is>
          <t>Э02</t>
        </is>
      </c>
      <c r="M42" s="7" t="inlineStr"/>
    </row>
    <row r="43">
      <c r="A43" s="7" t="n">
        <v>39</v>
      </c>
      <c r="B43" s="7" t="inlineStr">
        <is>
          <t>ГКЛ 12,5 2500×1200 (облицовка W7, NW1 со стороны кухни, зашивка O1 в 2 слоя)</t>
        </is>
      </c>
      <c r="C43" s="7" t="inlineStr">
        <is>
          <t>Knauf ГСП-А</t>
        </is>
      </c>
      <c r="D43" s="7" t="inlineStr">
        <is>
          <t>Knauf</t>
        </is>
      </c>
      <c r="E43" s="8" t="n">
        <v>9</v>
      </c>
      <c r="F43" s="7" t="inlineStr">
        <is>
          <t>лист</t>
        </is>
      </c>
      <c r="G43" s="9" t="n">
        <v>560</v>
      </c>
      <c r="H43" s="9">
        <f>E43*G43</f>
        <v/>
      </c>
      <c r="I43" s="7" t="inlineStr">
        <is>
          <t>R1, R3</t>
        </is>
      </c>
      <c r="J43" s="7" t="inlineStr">
        <is>
          <t>W7 11.05 + NW1 4.87 + O1 2×2.98 м²</t>
        </is>
      </c>
      <c r="K43" s="7" t="inlineStr">
        <is>
          <t>Ремонт</t>
        </is>
      </c>
      <c r="L43" s="7" t="inlineStr">
        <is>
          <t>Э02</t>
        </is>
      </c>
      <c r="M43" s="7" t="inlineStr"/>
    </row>
    <row r="44">
      <c r="A44" s="7" t="n">
        <v>40</v>
      </c>
      <c r="B44" s="7" t="inlineStr">
        <is>
          <t>Каркас стенных облицовок (ПП 60/27, ПН, подвесы; VK-C1 — стальной/ПП усиленный)</t>
        </is>
      </c>
      <c r="C44" s="7" t="inlineStr">
        <is>
          <t>Knauf</t>
        </is>
      </c>
      <c r="D44" s="7" t="inlineStr">
        <is>
          <t>Knauf</t>
        </is>
      </c>
      <c r="E44" s="8" t="n">
        <v>20</v>
      </c>
      <c r="F44" s="7" t="inlineStr">
        <is>
          <t>м²</t>
        </is>
      </c>
      <c r="G44" s="9" t="n">
        <v>520</v>
      </c>
      <c r="H44" s="9">
        <f>E44*G44</f>
        <v/>
      </c>
      <c r="I44" s="7" t="inlineStr">
        <is>
          <t>R1, R5</t>
        </is>
      </c>
      <c r="J44" s="7" t="inlineStr">
        <is>
          <t>W7, O1, VK-C1 2.29, короб инсталляции 1.35, экран 1.02, VK-C2 0.66</t>
        </is>
      </c>
      <c r="K44" s="7" t="inlineStr">
        <is>
          <t>Ремонт</t>
        </is>
      </c>
      <c r="L44" s="7" t="inlineStr">
        <is>
          <t>Э02</t>
        </is>
      </c>
      <c r="M44" s="7" t="inlineStr"/>
    </row>
    <row r="45">
      <c r="A45" s="7" t="n">
        <v>41</v>
      </c>
      <c r="B45" s="7" t="inlineStr">
        <is>
          <t>ГВЛВ/ЦСП 12,5 (облицовка душа VK-C1, короб инсталляции, экран ванны, VK-C2 — 2 слоя)</t>
        </is>
      </c>
      <c r="C45" s="7" t="inlineStr">
        <is>
          <t>Knauf ГВЛВ / Аквапанель</t>
        </is>
      </c>
      <c r="D45" s="7" t="inlineStr">
        <is>
          <t>Knauf</t>
        </is>
      </c>
      <c r="E45" s="8" t="n">
        <v>5</v>
      </c>
      <c r="F45" s="7" t="inlineStr">
        <is>
          <t>лист</t>
        </is>
      </c>
      <c r="G45" s="9" t="n">
        <v>950</v>
      </c>
      <c r="H45" s="9">
        <f>E45*G45</f>
        <v/>
      </c>
      <c r="I45" s="7" t="inlineStr">
        <is>
          <t>R5</t>
        </is>
      </c>
      <c r="J45" s="7" t="inlineStr">
        <is>
          <t>VK-C1 (F90), VK-C2, F69, экран ванны</t>
        </is>
      </c>
      <c r="K45" s="7" t="inlineStr">
        <is>
          <t>Ремонт</t>
        </is>
      </c>
      <c r="L45" s="7" t="inlineStr">
        <is>
          <t>Э02</t>
        </is>
      </c>
      <c r="M45" s="7" t="inlineStr"/>
    </row>
    <row r="46">
      <c r="A46" s="7" t="n">
        <v>42</v>
      </c>
      <c r="B46" s="7" t="inlineStr">
        <is>
          <t>Минвата 100 + пароизоляция с проклейкой (зашивка O1)</t>
        </is>
      </c>
      <c r="C46" s="7" t="inlineStr">
        <is>
          <t>Rockwool Лайт Баттс / Ондутис</t>
        </is>
      </c>
      <c r="D46" s="7" t="inlineStr">
        <is>
          <t>Rockwool</t>
        </is>
      </c>
      <c r="E46" s="8" t="n">
        <v>4</v>
      </c>
      <c r="F46" s="7" t="inlineStr">
        <is>
          <t>м²</t>
        </is>
      </c>
      <c r="G46" s="9" t="n">
        <v>650</v>
      </c>
      <c r="H46" s="9">
        <f>E46*G46</f>
        <v/>
      </c>
      <c r="I46" s="7" t="inlineStr">
        <is>
          <t>R1</t>
        </is>
      </c>
      <c r="J46" s="7" t="inlineStr">
        <is>
          <t>window_infill O1 2.98 м²; узел 8</t>
        </is>
      </c>
      <c r="K46" s="7" t="inlineStr">
        <is>
          <t>Ремонт</t>
        </is>
      </c>
      <c r="L46" s="7" t="inlineStr">
        <is>
          <t>Э02</t>
        </is>
      </c>
      <c r="M46" s="7" t="inlineStr"/>
    </row>
    <row r="47">
      <c r="A47" s="7" t="n">
        <v>43</v>
      </c>
      <c r="B47" s="7" t="inlineStr">
        <is>
          <t>ГКЛ 12,5 2500×1200 (потолки, короба CB-1…CB-3, ниши штор)</t>
        </is>
      </c>
      <c r="C47" s="7" t="inlineStr">
        <is>
          <t>Knauf ГСП-А</t>
        </is>
      </c>
      <c r="D47" s="7" t="inlineStr">
        <is>
          <t>Knauf</t>
        </is>
      </c>
      <c r="E47" s="8" t="n">
        <v>22</v>
      </c>
      <c r="F47" s="7" t="inlineStr">
        <is>
          <t>лист</t>
        </is>
      </c>
      <c r="G47" s="9" t="n">
        <v>560</v>
      </c>
      <c r="H47" s="9">
        <f>E47*G47</f>
        <v/>
      </c>
      <c r="I47" s="7" t="inlineStr">
        <is>
          <t>R1–R4</t>
        </is>
      </c>
      <c r="J47" s="7" t="inlineStr">
        <is>
          <t>ceilings gkl_* 48.97 + box 4.57×1,5 + niche 2.4</t>
        </is>
      </c>
      <c r="K47" s="7" t="inlineStr">
        <is>
          <t>Ремонт</t>
        </is>
      </c>
      <c r="L47" s="7" t="inlineStr">
        <is>
          <t>Э09</t>
        </is>
      </c>
      <c r="M47" s="7" t="inlineStr"/>
    </row>
    <row r="48">
      <c r="A48" s="7" t="n">
        <v>44</v>
      </c>
      <c r="B48" s="7" t="inlineStr">
        <is>
          <t>ГКЛВ 12,5 2500×1200 (потолки ванной, постирочной, балкона)</t>
        </is>
      </c>
      <c r="C48" s="7" t="inlineStr">
        <is>
          <t>Knauf ГСП-H2</t>
        </is>
      </c>
      <c r="D48" s="7" t="inlineStr">
        <is>
          <t>Knauf</t>
        </is>
      </c>
      <c r="E48" s="8" t="n">
        <v>5</v>
      </c>
      <c r="F48" s="7" t="inlineStr">
        <is>
          <t>лист</t>
        </is>
      </c>
      <c r="G48" s="9" t="n">
        <v>650</v>
      </c>
      <c r="H48" s="9">
        <f>E48*G48</f>
        <v/>
      </c>
      <c r="I48" s="7" t="inlineStr">
        <is>
          <t>R5–R7</t>
        </is>
      </c>
      <c r="J48" s="7" t="inlineStr">
        <is>
          <t>ceilings gklv_* 8.29 + 5.07</t>
        </is>
      </c>
      <c r="K48" s="7" t="inlineStr">
        <is>
          <t>Ремонт</t>
        </is>
      </c>
      <c r="L48" s="7" t="inlineStr">
        <is>
          <t>Э09</t>
        </is>
      </c>
      <c r="M48" s="7" t="inlineStr"/>
    </row>
    <row r="49">
      <c r="A49" s="7" t="n">
        <v>45</v>
      </c>
      <c r="B49" s="7" t="inlineStr">
        <is>
          <t>Каркас потолков (ПП 60/27, ПН 28/27, прямые подвесы, крабы, анкеры)</t>
        </is>
      </c>
      <c r="C49" s="7" t="inlineStr">
        <is>
          <t>Knauf</t>
        </is>
      </c>
      <c r="D49" s="7" t="inlineStr">
        <is>
          <t>Knauf</t>
        </is>
      </c>
      <c r="E49" s="8" t="n">
        <v>70</v>
      </c>
      <c r="F49" s="7" t="inlineStr">
        <is>
          <t>м²</t>
        </is>
      </c>
      <c r="G49" s="9" t="n">
        <v>550</v>
      </c>
      <c r="H49" s="9">
        <f>E49*G49</f>
        <v/>
      </c>
      <c r="I49" s="7" t="inlineStr">
        <is>
          <t>все</t>
        </is>
      </c>
      <c r="J49" s="7" t="inlineStr">
        <is>
          <t>ceilings Σ 69.3 м²</t>
        </is>
      </c>
      <c r="K49" s="7" t="inlineStr">
        <is>
          <t>Ремонт</t>
        </is>
      </c>
      <c r="L49" s="7" t="inlineStr">
        <is>
          <t>Э09</t>
        </is>
      </c>
      <c r="M49" s="7" t="inlineStr"/>
    </row>
    <row r="50">
      <c r="A50" s="7" t="n">
        <v>46</v>
      </c>
      <c r="B50" s="7" t="inlineStr">
        <is>
          <t>Теневой профиль 10×10 алюминиевый под окраску</t>
        </is>
      </c>
      <c r="C50" s="7" t="inlineStr">
        <is>
          <t>Steel Shadow / Профиль-Т</t>
        </is>
      </c>
      <c r="D50" s="7" t="inlineStr">
        <is>
          <t>—</t>
        </is>
      </c>
      <c r="E50" s="8" t="n">
        <v>18</v>
      </c>
      <c r="F50" s="7" t="inlineStr">
        <is>
          <t>м</t>
        </is>
      </c>
      <c r="G50" s="9" t="n">
        <v>650</v>
      </c>
      <c r="H50" s="9">
        <f>E50*G50</f>
        <v/>
      </c>
      <c r="I50" s="7" t="inlineStr">
        <is>
          <t>R5, R6, R7</t>
        </is>
      </c>
      <c r="J50" s="7" t="inlineStr">
        <is>
          <t>linear shadow_profile; ceilings shadow_profiles</t>
        </is>
      </c>
      <c r="K50" s="7" t="inlineStr">
        <is>
          <t>Ремонт</t>
        </is>
      </c>
      <c r="L50" s="7" t="inlineStr">
        <is>
          <t>Э09</t>
        </is>
      </c>
      <c r="M50" s="7" t="inlineStr"/>
    </row>
    <row r="51">
      <c r="A51" s="7" t="n">
        <v>47</v>
      </c>
      <c r="B51" s="7" t="inlineStr">
        <is>
          <t>HC-1: люк-невидимка под покраску, влагостойкий, с уплотнителем 300×300</t>
        </is>
      </c>
      <c r="C51" s="7" t="inlineStr">
        <is>
          <t>Практика / Revizor</t>
        </is>
      </c>
      <c r="D51" s="7" t="inlineStr">
        <is>
          <t>—</t>
        </is>
      </c>
      <c r="E51" s="8" t="n">
        <v>1</v>
      </c>
      <c r="F51" s="7" t="inlineStr">
        <is>
          <t>шт</t>
        </is>
      </c>
      <c r="G51" s="9" t="n">
        <v>4500</v>
      </c>
      <c r="H51" s="9">
        <f>E51*G51</f>
        <v/>
      </c>
      <c r="I51" s="7" t="inlineStr">
        <is>
          <t>R5</t>
        </is>
      </c>
      <c r="J51" s="7" t="inlineStr">
        <is>
          <t>HC-1; ceilings.json</t>
        </is>
      </c>
      <c r="K51" s="7" t="inlineStr">
        <is>
          <t>Ремонт</t>
        </is>
      </c>
      <c r="L51" s="7" t="inlineStr">
        <is>
          <t>Э09</t>
        </is>
      </c>
      <c r="M51" s="7" t="inlineStr"/>
    </row>
    <row r="52">
      <c r="A52" s="7" t="n">
        <v>48</v>
      </c>
      <c r="B52" s="7" t="inlineStr">
        <is>
          <t>HC-2: съёмная вентрешётка в низе короба CB-2 210×150</t>
        </is>
      </c>
      <c r="C52" s="7" t="inlineStr">
        <is>
          <t>Практика / Revizor</t>
        </is>
      </c>
      <c r="D52" s="7" t="inlineStr">
        <is>
          <t>—</t>
        </is>
      </c>
      <c r="E52" s="8" t="n">
        <v>1</v>
      </c>
      <c r="F52" s="7" t="inlineStr">
        <is>
          <t>шт</t>
        </is>
      </c>
      <c r="G52" s="9" t="n">
        <v>1800</v>
      </c>
      <c r="H52" s="9">
        <f>E52*G52</f>
        <v/>
      </c>
      <c r="I52" s="7" t="inlineStr">
        <is>
          <t>R3</t>
        </is>
      </c>
      <c r="J52" s="7" t="inlineStr">
        <is>
          <t>HC-2; ceilings.json</t>
        </is>
      </c>
      <c r="K52" s="7" t="inlineStr">
        <is>
          <t>Ремонт</t>
        </is>
      </c>
      <c r="L52" s="7" t="inlineStr">
        <is>
          <t>Э09</t>
        </is>
      </c>
      <c r="M52" s="7" t="inlineStr"/>
    </row>
    <row r="53">
      <c r="A53" s="7" t="n">
        <v>49</v>
      </c>
      <c r="B53" s="7" t="inlineStr">
        <is>
          <t>Штукатурка гипсовая по маякам (ср. 15 мм, 13,5 кг/м²)</t>
        </is>
      </c>
      <c r="C53" s="7" t="inlineStr">
        <is>
          <t>Knauf Ротбанд / Волма Слой</t>
        </is>
      </c>
      <c r="D53" s="7" t="inlineStr">
        <is>
          <t>Knauf</t>
        </is>
      </c>
      <c r="E53" s="8">
        <f>CEILING(118.4*13.5/30,1)</f>
        <v/>
      </c>
      <c r="F53" s="7" t="inlineStr">
        <is>
          <t>меш. 30 кг</t>
        </is>
      </c>
      <c r="G53" s="9" t="n">
        <v>640</v>
      </c>
      <c r="H53" s="9">
        <f>E53*G53</f>
        <v/>
      </c>
      <c r="I53" s="7" t="inlineStr">
        <is>
          <t>R1–R4, R7</t>
        </is>
      </c>
      <c r="J53" s="7" t="inlineStr">
        <is>
          <t>walls (gross − проёмы, без каркасных облицовок) = 118.4 м²</t>
        </is>
      </c>
      <c r="K53" s="7" t="inlineStr">
        <is>
          <t>Ремонт</t>
        </is>
      </c>
      <c r="L53" s="7" t="inlineStr">
        <is>
          <t>Э07</t>
        </is>
      </c>
      <c r="M53" s="7" t="inlineStr"/>
    </row>
    <row r="54">
      <c r="A54" s="7" t="n">
        <v>50</v>
      </c>
      <c r="B54" s="7" t="inlineStr">
        <is>
          <t>Штукатурка цементная для влажных помещений (ср. 15 мм, 18 кг/м²)</t>
        </is>
      </c>
      <c r="C54" s="7" t="inlineStr">
        <is>
          <t>Knauf Унтерпутц / Ceresit CT 24</t>
        </is>
      </c>
      <c r="D54" s="7" t="inlineStr">
        <is>
          <t>Knauf</t>
        </is>
      </c>
      <c r="E54" s="8">
        <f>CEILING(33.89*18/25,1)</f>
        <v/>
      </c>
      <c r="F54" s="7" t="inlineStr">
        <is>
          <t>меш. 25 кг</t>
        </is>
      </c>
      <c r="G54" s="9" t="n">
        <v>520</v>
      </c>
      <c r="H54" s="9">
        <f>E54*G54</f>
        <v/>
      </c>
      <c r="I54" s="7" t="inlineStr">
        <is>
          <t>R5, R6</t>
        </is>
      </c>
      <c r="J54" s="7" t="inlineStr">
        <is>
          <t>walls R5, R6 = 33.89 м²</t>
        </is>
      </c>
      <c r="K54" s="7" t="inlineStr">
        <is>
          <t>Ремонт</t>
        </is>
      </c>
      <c r="L54" s="7" t="inlineStr">
        <is>
          <t>Э07</t>
        </is>
      </c>
      <c r="M54" s="7" t="inlineStr"/>
    </row>
    <row r="55">
      <c r="A55" s="7" t="n">
        <v>51</v>
      </c>
      <c r="B55" s="7" t="inlineStr">
        <is>
          <t>Маяки 6 мм 3 м + уголки штукатурные для откосов</t>
        </is>
      </c>
      <c r="C55" s="7" t="inlineStr">
        <is>
          <t>—</t>
        </is>
      </c>
      <c r="D55" s="7" t="inlineStr">
        <is>
          <t>—</t>
        </is>
      </c>
      <c r="E55" s="8" t="n">
        <v>108</v>
      </c>
      <c r="F55" s="7" t="inlineStr">
        <is>
          <t>шт</t>
        </is>
      </c>
      <c r="G55" s="9" t="n">
        <v>70</v>
      </c>
      <c r="H55" s="9">
        <f>E55*G55</f>
        <v/>
      </c>
      <c r="I55" s="7" t="inlineStr">
        <is>
          <t>все</t>
        </is>
      </c>
      <c r="J55" s="7" t="inlineStr">
        <is>
          <t>штукатурка; откосы 16.88 м</t>
        </is>
      </c>
      <c r="K55" s="7" t="inlineStr">
        <is>
          <t>Ремонт</t>
        </is>
      </c>
      <c r="L55" s="7" t="inlineStr">
        <is>
          <t>Э07</t>
        </is>
      </c>
      <c r="M55" s="7" t="inlineStr"/>
    </row>
    <row r="56">
      <c r="A56" s="7" t="n">
        <v>52</v>
      </c>
      <c r="B56" s="7" t="inlineStr">
        <is>
          <t>Грунт глубокого проникновения (2 прохода, 0,15 л/м²)</t>
        </is>
      </c>
      <c r="C56" s="7" t="inlineStr">
        <is>
          <t>Ceresit CT 17 / Knauf Тифенгрунд</t>
        </is>
      </c>
      <c r="D56" s="7" t="inlineStr">
        <is>
          <t>Ceresit</t>
        </is>
      </c>
      <c r="E56" s="8" t="n">
        <v>120</v>
      </c>
      <c r="F56" s="7" t="inlineStr">
        <is>
          <t>л</t>
        </is>
      </c>
      <c r="G56" s="9" t="n">
        <v>120</v>
      </c>
      <c r="H56" s="9">
        <f>E56*G56</f>
        <v/>
      </c>
      <c r="I56" s="7" t="inlineStr">
        <is>
          <t>все</t>
        </is>
      </c>
      <c r="J56" s="7" t="inlineStr">
        <is>
          <t>штукатурка + шпаклёвка + Q2</t>
        </is>
      </c>
      <c r="K56" s="7" t="inlineStr">
        <is>
          <t>Ремонт</t>
        </is>
      </c>
      <c r="L56" s="7" t="inlineStr">
        <is>
          <t>Э07</t>
        </is>
      </c>
      <c r="M56" s="7" t="inlineStr"/>
    </row>
    <row r="57">
      <c r="A57" s="7" t="n">
        <v>53</v>
      </c>
      <c r="B57" s="7" t="inlineStr">
        <is>
          <t>Шпаклёвка финишная полимерная (стены Q3 1,2 кг/м², потолки Q4 1,5 кг/м², Q2 за мебелью 0,5 кг/м²)</t>
        </is>
      </c>
      <c r="C57" s="7" t="inlineStr">
        <is>
          <t>Sheetrock / Vetonit LR+ / Danogips</t>
        </is>
      </c>
      <c r="D57" s="7" t="inlineStr">
        <is>
          <t>Sheetrock</t>
        </is>
      </c>
      <c r="E57" s="8" t="n">
        <v>280</v>
      </c>
      <c r="F57" s="7" t="inlineStr">
        <is>
          <t>кг</t>
        </is>
      </c>
      <c r="G57" s="9" t="n">
        <v>85</v>
      </c>
      <c r="H57" s="9">
        <f>E57*G57</f>
        <v/>
      </c>
      <c r="I57" s="7" t="inlineStr">
        <is>
          <t>все</t>
        </is>
      </c>
      <c r="J57" s="7" t="inlineStr">
        <is>
          <t>Q3 стены 105.6 + откосы 5.38 + потолки 69.3 + Q2 50.01 м²</t>
        </is>
      </c>
      <c r="K57" s="7" t="inlineStr">
        <is>
          <t>Ремонт</t>
        </is>
      </c>
      <c r="L57" s="7" t="inlineStr">
        <is>
          <t>Э07</t>
        </is>
      </c>
      <c r="M57" s="7" t="inlineStr"/>
    </row>
    <row r="58">
      <c r="A58" s="7" t="n">
        <v>54</v>
      </c>
      <c r="B58" s="7" t="inlineStr">
        <is>
          <t>Шпаклёвка для швов ГКЛ + серпянка (0,35 кг/м²)</t>
        </is>
      </c>
      <c r="C58" s="7" t="inlineStr">
        <is>
          <t>Knauf Фуген</t>
        </is>
      </c>
      <c r="D58" s="7" t="inlineStr">
        <is>
          <t>Knauf</t>
        </is>
      </c>
      <c r="E58" s="8" t="n">
        <v>50</v>
      </c>
      <c r="F58" s="7" t="inlineStr">
        <is>
          <t>кг</t>
        </is>
      </c>
      <c r="G58" s="9" t="n">
        <v>70</v>
      </c>
      <c r="H58" s="9">
        <f>E58*G58</f>
        <v/>
      </c>
      <c r="I58" s="7" t="inlineStr">
        <is>
          <t>все</t>
        </is>
      </c>
      <c r="J58" s="7" t="inlineStr">
        <is>
          <t>ceilings + облицовки</t>
        </is>
      </c>
      <c r="K58" s="7" t="inlineStr">
        <is>
          <t>Ремонт</t>
        </is>
      </c>
      <c r="L58" s="7" t="inlineStr">
        <is>
          <t>Э07</t>
        </is>
      </c>
      <c r="M58" s="7" t="inlineStr"/>
    </row>
    <row r="59">
      <c r="A59" s="7" t="n">
        <v>55</v>
      </c>
      <c r="B59" s="7" t="inlineStr">
        <is>
          <t>Стеклохолст-паутинка 45 г/м² + клей (стены под покраску)</t>
        </is>
      </c>
      <c r="C59" s="7" t="inlineStr">
        <is>
          <t>Wellton / Oscar</t>
        </is>
      </c>
      <c r="D59" s="7" t="inlineStr">
        <is>
          <t>Wellton</t>
        </is>
      </c>
      <c r="E59" s="8" t="n">
        <v>150</v>
      </c>
      <c r="F59" s="7" t="inlineStr">
        <is>
          <t>м²</t>
        </is>
      </c>
      <c r="G59" s="9" t="n">
        <v>95</v>
      </c>
      <c r="H59" s="9">
        <f>E59*G59</f>
        <v/>
      </c>
      <c r="I59" s="7" t="inlineStr">
        <is>
          <t>все</t>
        </is>
      </c>
      <c r="J59" s="7" t="inlineStr">
        <is>
          <t>walls под окраску 105.6 м²; M05</t>
        </is>
      </c>
      <c r="K59" s="7" t="inlineStr">
        <is>
          <t>Ремонт</t>
        </is>
      </c>
      <c r="L59" s="7" t="inlineStr">
        <is>
          <t>Э07</t>
        </is>
      </c>
      <c r="M59" s="7" t="inlineStr"/>
    </row>
    <row r="60">
      <c r="A60" s="7" t="n">
        <v>56</v>
      </c>
      <c r="B60" s="7" t="inlineStr">
        <is>
          <t>Краска акриловая матовая моющаяся (класс 1), колер C2 «лён» NCS S 1002-Y — стены, матовая моющаяся класс 1–2</t>
        </is>
      </c>
      <c r="C60" s="7" t="inlineStr">
        <is>
          <t>Derufa / Caparol Samtex / Dulux-класс</t>
        </is>
      </c>
      <c r="D60" s="7" t="inlineStr">
        <is>
          <t>Derufa / Caparol</t>
        </is>
      </c>
      <c r="E60" s="8">
        <f>CEILING(56.72*0.11*2,1)</f>
        <v/>
      </c>
      <c r="F60" s="7" t="inlineStr">
        <is>
          <t>л</t>
        </is>
      </c>
      <c r="G60" s="9" t="n">
        <v>1500</v>
      </c>
      <c r="H60" s="9">
        <f>E60*G60</f>
        <v/>
      </c>
      <c r="I60" s="7" t="inlineStr">
        <is>
          <t>R1, R3, R4</t>
        </is>
      </c>
      <c r="J60" s="7" t="inlineStr">
        <is>
          <t>finish-quantities walls/ceilings; palette.json</t>
        </is>
      </c>
      <c r="K60" s="7" t="inlineStr">
        <is>
          <t>Ремонт</t>
        </is>
      </c>
      <c r="L60" s="7" t="inlineStr">
        <is>
          <t>Э10</t>
        </is>
      </c>
      <c r="M60" s="7" t="inlineStr">
        <is>
          <t>56.72 м² × 0,11 л × 2 сл.</t>
        </is>
      </c>
    </row>
    <row r="61">
      <c r="A61" s="7" t="n">
        <v>57</v>
      </c>
      <c r="B61" s="7" t="inlineStr">
        <is>
          <t>Краска износостойкая моющаяся (класс 1), колер C5 NCS S 1510-B — детская, низ до +900, износостойкая класс 1</t>
        </is>
      </c>
      <c r="C61" s="7" t="inlineStr">
        <is>
          <t>Derufa / Caparol Samtex / Dulux-класс</t>
        </is>
      </c>
      <c r="D61" s="7" t="inlineStr">
        <is>
          <t>Derufa / Caparol</t>
        </is>
      </c>
      <c r="E61" s="8">
        <f>CEILING(9.02*0.11*2,1)</f>
        <v/>
      </c>
      <c r="F61" s="7" t="inlineStr">
        <is>
          <t>л</t>
        </is>
      </c>
      <c r="G61" s="9" t="n">
        <v>1500</v>
      </c>
      <c r="H61" s="9">
        <f>E61*G61</f>
        <v/>
      </c>
      <c r="I61" s="7" t="inlineStr">
        <is>
          <t>R2</t>
        </is>
      </c>
      <c r="J61" s="7" t="inlineStr">
        <is>
          <t>finish-quantities walls/ceilings; palette.json</t>
        </is>
      </c>
      <c r="K61" s="7" t="inlineStr">
        <is>
          <t>Ремонт</t>
        </is>
      </c>
      <c r="L61" s="7" t="inlineStr">
        <is>
          <t>Э10</t>
        </is>
      </c>
      <c r="M61" s="7" t="inlineStr">
        <is>
          <t>9.02 м² × 0,11 л × 2 сл.</t>
        </is>
      </c>
    </row>
    <row r="62">
      <c r="A62" s="7" t="n">
        <v>58</v>
      </c>
      <c r="B62" s="7" t="inlineStr">
        <is>
          <t>Краска акриловая глубокоматовая, колер C1 «тёплый белый» NCS S 0502-Y — детская, верх стен</t>
        </is>
      </c>
      <c r="C62" s="7" t="inlineStr">
        <is>
          <t>Derufa / Caparol Samtex / Dulux-класс</t>
        </is>
      </c>
      <c r="D62" s="7" t="inlineStr">
        <is>
          <t>Derufa / Caparol</t>
        </is>
      </c>
      <c r="E62" s="8">
        <f>CEILING(18.04*0.11*2,1)</f>
        <v/>
      </c>
      <c r="F62" s="7" t="inlineStr">
        <is>
          <t>л</t>
        </is>
      </c>
      <c r="G62" s="9" t="n">
        <v>1400</v>
      </c>
      <c r="H62" s="9">
        <f>E62*G62</f>
        <v/>
      </c>
      <c r="I62" s="7" t="inlineStr">
        <is>
          <t>R2</t>
        </is>
      </c>
      <c r="J62" s="7" t="inlineStr">
        <is>
          <t>finish-quantities walls/ceilings; palette.json</t>
        </is>
      </c>
      <c r="K62" s="7" t="inlineStr">
        <is>
          <t>Ремонт</t>
        </is>
      </c>
      <c r="L62" s="7" t="inlineStr">
        <is>
          <t>Э10</t>
        </is>
      </c>
      <c r="M62" s="7" t="inlineStr">
        <is>
          <t>18.04 м² × 0,11 л × 2 сл.</t>
        </is>
      </c>
    </row>
    <row r="63">
      <c r="A63" s="7" t="n">
        <v>59</v>
      </c>
      <c r="B63" s="7" t="inlineStr">
        <is>
          <t>Краска для влажных помещений матовая, колер C2 NCS S 1002-Y — стены ванной/постирочной, для влажных помещений</t>
        </is>
      </c>
      <c r="C63" s="7" t="inlineStr">
        <is>
          <t>Derufa / Caparol Samtex / Dulux-класс</t>
        </is>
      </c>
      <c r="D63" s="7" t="inlineStr">
        <is>
          <t>Derufa / Caparol</t>
        </is>
      </c>
      <c r="E63" s="8">
        <f>CEILING(11.42*0.11*2,1)</f>
        <v/>
      </c>
      <c r="F63" s="7" t="inlineStr">
        <is>
          <t>л</t>
        </is>
      </c>
      <c r="G63" s="9" t="n">
        <v>1600</v>
      </c>
      <c r="H63" s="9">
        <f>E63*G63</f>
        <v/>
      </c>
      <c r="I63" s="7" t="inlineStr">
        <is>
          <t>R5, R6</t>
        </is>
      </c>
      <c r="J63" s="7" t="inlineStr">
        <is>
          <t>finish-quantities walls/ceilings; palette.json</t>
        </is>
      </c>
      <c r="K63" s="7" t="inlineStr">
        <is>
          <t>Ремонт</t>
        </is>
      </c>
      <c r="L63" s="7" t="inlineStr">
        <is>
          <t>Э10</t>
        </is>
      </c>
      <c r="M63" s="7" t="inlineStr">
        <is>
          <t>11.42 м² × 0,11 л × 2 сл.</t>
        </is>
      </c>
    </row>
    <row r="64">
      <c r="A64" s="7" t="n">
        <v>60</v>
      </c>
      <c r="B64" s="7" t="inlineStr">
        <is>
          <t>Краска глубокоматовая (≤ 3 gloss), колер C6 «тёмная олива» — балкон, глубокоматовая, тёмная (3 слоя)</t>
        </is>
      </c>
      <c r="C64" s="7" t="inlineStr">
        <is>
          <t>Derufa / Caparol Samtex / Dulux-класс</t>
        </is>
      </c>
      <c r="D64" s="7" t="inlineStr">
        <is>
          <t>Derufa / Caparol</t>
        </is>
      </c>
      <c r="E64" s="8">
        <f>CEILING(10.4*0.11*3,1)</f>
        <v/>
      </c>
      <c r="F64" s="7" t="inlineStr">
        <is>
          <t>л</t>
        </is>
      </c>
      <c r="G64" s="9" t="n">
        <v>1600</v>
      </c>
      <c r="H64" s="9">
        <f>E64*G64</f>
        <v/>
      </c>
      <c r="I64" s="7" t="inlineStr">
        <is>
          <t>R7</t>
        </is>
      </c>
      <c r="J64" s="7" t="inlineStr">
        <is>
          <t>finish-quantities walls/ceilings; palette.json</t>
        </is>
      </c>
      <c r="K64" s="7" t="inlineStr">
        <is>
          <t>Ремонт</t>
        </is>
      </c>
      <c r="L64" s="7" t="inlineStr">
        <is>
          <t>Э10</t>
        </is>
      </c>
      <c r="M64" s="7" t="inlineStr">
        <is>
          <t>10.4 м² × 0,11 л × 3 сл.</t>
        </is>
      </c>
    </row>
    <row r="65">
      <c r="A65" s="7" t="n">
        <v>61</v>
      </c>
      <c r="B65" s="7" t="inlineStr">
        <is>
          <t>Краска акриловая глубокоматовая, колер C1 «тёплый белый» NCS S 0502-Y — откосы O2, O3, портал O4</t>
        </is>
      </c>
      <c r="C65" s="7" t="inlineStr">
        <is>
          <t>Derufa / Caparol Samtex / Dulux-класс</t>
        </is>
      </c>
      <c r="D65" s="7" t="inlineStr">
        <is>
          <t>Derufa / Caparol</t>
        </is>
      </c>
      <c r="E65" s="8">
        <f>CEILING(5.38*0.11*2,1)</f>
        <v/>
      </c>
      <c r="F65" s="7" t="inlineStr">
        <is>
          <t>л</t>
        </is>
      </c>
      <c r="G65" s="9" t="n">
        <v>1400</v>
      </c>
      <c r="H65" s="9">
        <f>E65*G65</f>
        <v/>
      </c>
      <c r="I65" s="7" t="inlineStr">
        <is>
          <t>R1, R2, R3</t>
        </is>
      </c>
      <c r="J65" s="7" t="inlineStr">
        <is>
          <t>finish-quantities walls/ceilings; palette.json</t>
        </is>
      </c>
      <c r="K65" s="7" t="inlineStr">
        <is>
          <t>Ремонт</t>
        </is>
      </c>
      <c r="L65" s="7" t="inlineStr">
        <is>
          <t>Э10</t>
        </is>
      </c>
      <c r="M65" s="7" t="inlineStr">
        <is>
          <t>5.38 м² × 0,11 л × 2 сл.</t>
        </is>
      </c>
    </row>
    <row r="66">
      <c r="A66" s="7" t="n">
        <v>62</v>
      </c>
      <c r="B66" s="7" t="inlineStr">
        <is>
          <t>Краска потолочная глубокоматовая, колер C1 NCS S 0502-Y — потолки ГКЛ, глубокоматовая</t>
        </is>
      </c>
      <c r="C66" s="7" t="inlineStr">
        <is>
          <t>Derufa / Caparol Samtex / Dulux-класс</t>
        </is>
      </c>
      <c r="D66" s="7" t="inlineStr">
        <is>
          <t>Derufa / Caparol</t>
        </is>
      </c>
      <c r="E66" s="8">
        <f>CEILING(54.93*0.11*2,1)</f>
        <v/>
      </c>
      <c r="F66" s="7" t="inlineStr">
        <is>
          <t>л</t>
        </is>
      </c>
      <c r="G66" s="9" t="n">
        <v>1300</v>
      </c>
      <c r="H66" s="9">
        <f>E66*G66</f>
        <v/>
      </c>
      <c r="I66" s="7" t="inlineStr">
        <is>
          <t>R1, R2, R3, R4</t>
        </is>
      </c>
      <c r="J66" s="7" t="inlineStr">
        <is>
          <t>finish-quantities walls/ceilings; palette.json</t>
        </is>
      </c>
      <c r="K66" s="7" t="inlineStr">
        <is>
          <t>Ремонт</t>
        </is>
      </c>
      <c r="L66" s="7" t="inlineStr">
        <is>
          <t>Э10</t>
        </is>
      </c>
      <c r="M66" s="7" t="inlineStr">
        <is>
          <t>54.93 м² × 0,11 л × 2 сл.</t>
        </is>
      </c>
    </row>
    <row r="67">
      <c r="A67" s="7" t="n">
        <v>63</v>
      </c>
      <c r="B67" s="7" t="inlineStr">
        <is>
          <t>Краска для влажных помещений матовая, колер C1 — потолки ГКЛВ ванной и постирочной, влагостойкая</t>
        </is>
      </c>
      <c r="C67" s="7" t="inlineStr">
        <is>
          <t>Derufa / Caparol Samtex / Dulux-класс</t>
        </is>
      </c>
      <c r="D67" s="7" t="inlineStr">
        <is>
          <t>Derufa / Caparol</t>
        </is>
      </c>
      <c r="E67" s="8">
        <f>CEILING(8.29*0.11*2,1)</f>
        <v/>
      </c>
      <c r="F67" s="7" t="inlineStr">
        <is>
          <t>л</t>
        </is>
      </c>
      <c r="G67" s="9" t="n">
        <v>1600</v>
      </c>
      <c r="H67" s="9">
        <f>E67*G67</f>
        <v/>
      </c>
      <c r="I67" s="7" t="inlineStr">
        <is>
          <t>R5, R6</t>
        </is>
      </c>
      <c r="J67" s="7" t="inlineStr">
        <is>
          <t>finish-quantities walls/ceilings; palette.json</t>
        </is>
      </c>
      <c r="K67" s="7" t="inlineStr">
        <is>
          <t>Ремонт</t>
        </is>
      </c>
      <c r="L67" s="7" t="inlineStr">
        <is>
          <t>Э10</t>
        </is>
      </c>
      <c r="M67" s="7" t="inlineStr">
        <is>
          <t>8.29 м² × 0,11 л × 2 сл.</t>
        </is>
      </c>
    </row>
    <row r="68">
      <c r="A68" s="7" t="n">
        <v>64</v>
      </c>
      <c r="B68" s="7" t="inlineStr">
        <is>
          <t>Краска глубокоматовая (≤ 3 gloss), колер C6 «тёмная олива» — потолок балкона и ниша CN-3</t>
        </is>
      </c>
      <c r="C68" s="7" t="inlineStr">
        <is>
          <t>Derufa / Caparol Samtex / Dulux-класс</t>
        </is>
      </c>
      <c r="D68" s="7" t="inlineStr">
        <is>
          <t>Derufa / Caparol</t>
        </is>
      </c>
      <c r="E68" s="8">
        <f>CEILING(6.08*0.11*3,1)</f>
        <v/>
      </c>
      <c r="F68" s="7" t="inlineStr">
        <is>
          <t>л</t>
        </is>
      </c>
      <c r="G68" s="9" t="n">
        <v>1600</v>
      </c>
      <c r="H68" s="9">
        <f>E68*G68</f>
        <v/>
      </c>
      <c r="I68" s="7" t="inlineStr">
        <is>
          <t>R7</t>
        </is>
      </c>
      <c r="J68" s="7" t="inlineStr">
        <is>
          <t>finish-quantities walls/ceilings; palette.json</t>
        </is>
      </c>
      <c r="K68" s="7" t="inlineStr">
        <is>
          <t>Ремонт</t>
        </is>
      </c>
      <c r="L68" s="7" t="inlineStr">
        <is>
          <t>Э10</t>
        </is>
      </c>
      <c r="M68" s="7" t="inlineStr">
        <is>
          <t>6.08 м² × 0,11 л × 3 сл.</t>
        </is>
      </c>
    </row>
    <row r="69">
      <c r="A69" s="7" t="n">
        <v>65</v>
      </c>
      <c r="B69" s="7" t="inlineStr">
        <is>
          <t>Карниз потолочный гладкий 80×70 полиуретан/дюрополимер</t>
        </is>
      </c>
      <c r="C69" s="7" t="inlineStr">
        <is>
          <t>M04</t>
        </is>
      </c>
      <c r="D69" s="7" t="inlineStr">
        <is>
          <t>Европласт / Orac Decor</t>
        </is>
      </c>
      <c r="E69" s="8">
        <f>CEILING(29.33*1.1,2)</f>
        <v/>
      </c>
      <c r="F69" s="7" t="inlineStr">
        <is>
          <t>м</t>
        </is>
      </c>
      <c r="G69" s="9" t="n">
        <v>1300</v>
      </c>
      <c r="H69" s="9">
        <f>E69*G69</f>
        <v/>
      </c>
      <c r="I69" s="7" t="inlineStr">
        <is>
          <t>R1, R3, R4</t>
        </is>
      </c>
      <c r="J69" s="7" t="inlineStr">
        <is>
          <t>linear cornice_80 = 29.33 м</t>
        </is>
      </c>
      <c r="K69" s="7" t="inlineStr">
        <is>
          <t>Ремонт</t>
        </is>
      </c>
      <c r="L69" s="7" t="inlineStr">
        <is>
          <t>Э10</t>
        </is>
      </c>
      <c r="M69" s="7" t="inlineStr"/>
    </row>
    <row r="70">
      <c r="A70" s="7" t="n">
        <v>66</v>
      </c>
      <c r="B70" s="7" t="inlineStr">
        <is>
          <t>Карниз потолочный 60×60</t>
        </is>
      </c>
      <c r="C70" s="7" t="inlineStr">
        <is>
          <t>M04</t>
        </is>
      </c>
      <c r="D70" s="7" t="inlineStr">
        <is>
          <t>Европласт / Orac Decor</t>
        </is>
      </c>
      <c r="E70" s="8">
        <f>CEILING(11.56*1.1,2)</f>
        <v/>
      </c>
      <c r="F70" s="7" t="inlineStr">
        <is>
          <t>м</t>
        </is>
      </c>
      <c r="G70" s="9" t="n">
        <v>1000</v>
      </c>
      <c r="H70" s="9">
        <f>E70*G70</f>
        <v/>
      </c>
      <c r="I70" s="7" t="inlineStr">
        <is>
          <t>R2</t>
        </is>
      </c>
      <c r="J70" s="7" t="inlineStr">
        <is>
          <t>linear cornice_60 = 11.56 м</t>
        </is>
      </c>
      <c r="K70" s="7" t="inlineStr">
        <is>
          <t>Ремонт</t>
        </is>
      </c>
      <c r="L70" s="7" t="inlineStr">
        <is>
          <t>Э10</t>
        </is>
      </c>
      <c r="M70" s="7" t="inlineStr"/>
    </row>
    <row r="71">
      <c r="A71" s="7" t="n">
        <v>67</v>
      </c>
      <c r="B71" s="7" t="inlineStr">
        <is>
          <t>Карниз 40 влагостойкий (ванная)</t>
        </is>
      </c>
      <c r="C71" s="7" t="inlineStr">
        <is>
          <t>M21</t>
        </is>
      </c>
      <c r="D71" s="7" t="inlineStr">
        <is>
          <t>Европласт / Orac Decor</t>
        </is>
      </c>
      <c r="E71" s="8">
        <f>CEILING(3.9*1.1,2)</f>
        <v/>
      </c>
      <c r="F71" s="7" t="inlineStr">
        <is>
          <t>м</t>
        </is>
      </c>
      <c r="G71" s="9" t="n">
        <v>800</v>
      </c>
      <c r="H71" s="9">
        <f>E71*G71</f>
        <v/>
      </c>
      <c r="I71" s="7" t="inlineStr">
        <is>
          <t>R5</t>
        </is>
      </c>
      <c r="J71" s="7" t="inlineStr">
        <is>
          <t>linear cornice_40 = 3.9 м</t>
        </is>
      </c>
      <c r="K71" s="7" t="inlineStr">
        <is>
          <t>Ремонт</t>
        </is>
      </c>
      <c r="L71" s="7" t="inlineStr">
        <is>
          <t>Э10</t>
        </is>
      </c>
      <c r="M71" s="7" t="inlineStr"/>
    </row>
    <row r="72">
      <c r="A72" s="7" t="n">
        <v>68</v>
      </c>
      <c r="B72" s="7" t="inlineStr">
        <is>
          <t>Карниз-профиль 60 ламбрекена CB-3</t>
        </is>
      </c>
      <c r="C72" s="7" t="inlineStr">
        <is>
          <t>M14</t>
        </is>
      </c>
      <c r="D72" s="7" t="inlineStr">
        <is>
          <t>Европласт / Orac Decor</t>
        </is>
      </c>
      <c r="E72" s="8">
        <f>CEILING(3.58*1.1,2)</f>
        <v/>
      </c>
      <c r="F72" s="7" t="inlineStr">
        <is>
          <t>м</t>
        </is>
      </c>
      <c r="G72" s="9" t="n">
        <v>1000</v>
      </c>
      <c r="H72" s="9">
        <f>E72*G72</f>
        <v/>
      </c>
      <c r="I72" s="7" t="inlineStr">
        <is>
          <t>R3</t>
        </is>
      </c>
      <c r="J72" s="7" t="inlineStr">
        <is>
          <t>linear cornice_profile_lambrequin_60 = 3.58 м</t>
        </is>
      </c>
      <c r="K72" s="7" t="inlineStr">
        <is>
          <t>Ремонт</t>
        </is>
      </c>
      <c r="L72" s="7" t="inlineStr">
        <is>
          <t>Э10</t>
        </is>
      </c>
      <c r="M72" s="7" t="inlineStr"/>
    </row>
    <row r="73">
      <c r="A73" s="7" t="n">
        <v>69</v>
      </c>
      <c r="B73" s="7" t="inlineStr">
        <is>
          <t>Карниз с LED-пазом (буазери, wall-wash)</t>
        </is>
      </c>
      <c r="C73" s="7" t="inlineStr">
        <is>
          <t>M06</t>
        </is>
      </c>
      <c r="D73" s="7" t="inlineStr">
        <is>
          <t>Orac Decor C-серия</t>
        </is>
      </c>
      <c r="E73" s="8">
        <f>CEILING(2.9*1.1,2)</f>
        <v/>
      </c>
      <c r="F73" s="7" t="inlineStr">
        <is>
          <t>м</t>
        </is>
      </c>
      <c r="G73" s="9" t="n">
        <v>2800</v>
      </c>
      <c r="H73" s="9">
        <f>E73*G73</f>
        <v/>
      </c>
      <c r="I73" s="7" t="inlineStr">
        <is>
          <t>R1</t>
        </is>
      </c>
      <c r="J73" s="7" t="inlineStr">
        <is>
          <t>linear cornice_boiserie_LED = 2.9 м</t>
        </is>
      </c>
      <c r="K73" s="7" t="inlineStr">
        <is>
          <t>Ремонт</t>
        </is>
      </c>
      <c r="L73" s="7" t="inlineStr">
        <is>
          <t>Э10</t>
        </is>
      </c>
      <c r="M73" s="7" t="inlineStr"/>
    </row>
    <row r="74">
      <c r="A74" s="7" t="n">
        <v>70</v>
      </c>
      <c r="B74" s="7" t="inlineStr">
        <is>
          <t>Плинтус МДФ влагостойкий 120 под покраску, к стене</t>
        </is>
      </c>
      <c r="C74" s="7" t="inlineStr">
        <is>
          <t>M02</t>
        </is>
      </c>
      <c r="D74" s="7" t="inlineStr">
        <is>
          <t>Ultrawood / Orac SX</t>
        </is>
      </c>
      <c r="E74" s="8">
        <f>CEILING(30.43*1.1,2)</f>
        <v/>
      </c>
      <c r="F74" s="7" t="inlineStr">
        <is>
          <t>м</t>
        </is>
      </c>
      <c r="G74" s="9" t="n">
        <v>850</v>
      </c>
      <c r="H74" s="9">
        <f>E74*G74</f>
        <v/>
      </c>
      <c r="I74" s="7" t="inlineStr">
        <is>
          <t>R1, R2, R3, R4</t>
        </is>
      </c>
      <c r="J74" s="7" t="inlineStr">
        <is>
          <t>linear plinth_mdf_120 = 30.43 м</t>
        </is>
      </c>
      <c r="K74" s="7" t="inlineStr">
        <is>
          <t>Ремонт</t>
        </is>
      </c>
      <c r="L74" s="7" t="inlineStr">
        <is>
          <t>Э10</t>
        </is>
      </c>
      <c r="M74" s="7" t="inlineStr"/>
    </row>
    <row r="75">
      <c r="A75" s="7" t="n">
        <v>71</v>
      </c>
      <c r="B75" s="7" t="inlineStr">
        <is>
          <t>Плинтус МДФ влагостойкий 80, окраска C6</t>
        </is>
      </c>
      <c r="C75" s="7" t="inlineStr">
        <is>
          <t>M29</t>
        </is>
      </c>
      <c r="D75" s="7" t="inlineStr">
        <is>
          <t>Ultrawood</t>
        </is>
      </c>
      <c r="E75" s="8">
        <f>CEILING(8.21*1.1,2)</f>
        <v/>
      </c>
      <c r="F75" s="7" t="inlineStr">
        <is>
          <t>м</t>
        </is>
      </c>
      <c r="G75" s="9" t="n">
        <v>650</v>
      </c>
      <c r="H75" s="9">
        <f>E75*G75</f>
        <v/>
      </c>
      <c r="I75" s="7" t="inlineStr">
        <is>
          <t>R7</t>
        </is>
      </c>
      <c r="J75" s="7" t="inlineStr">
        <is>
          <t>linear plinth_mdf_80_C6 = 8.21 м</t>
        </is>
      </c>
      <c r="K75" s="7" t="inlineStr">
        <is>
          <t>Ремонт</t>
        </is>
      </c>
      <c r="L75" s="7" t="inlineStr">
        <is>
          <t>Э10</t>
        </is>
      </c>
      <c r="M75" s="7" t="inlineStr"/>
    </row>
    <row r="76">
      <c r="A76" s="7" t="n">
        <v>72</v>
      </c>
      <c r="B76" s="7" t="inlineStr">
        <is>
          <t>Молдинг chair rail 40×20 на +900</t>
        </is>
      </c>
      <c r="C76" s="7" t="inlineStr">
        <is>
          <t>M10</t>
        </is>
      </c>
      <c r="D76" s="7" t="inlineStr">
        <is>
          <t>Европласт / Ultrawood</t>
        </is>
      </c>
      <c r="E76" s="8">
        <f>CEILING(10.68*1.1,2)</f>
        <v/>
      </c>
      <c r="F76" s="7" t="inlineStr">
        <is>
          <t>м</t>
        </is>
      </c>
      <c r="G76" s="9" t="n">
        <v>650</v>
      </c>
      <c r="H76" s="9">
        <f>E76*G76</f>
        <v/>
      </c>
      <c r="I76" s="7" t="inlineStr">
        <is>
          <t>R2</t>
        </is>
      </c>
      <c r="J76" s="7" t="inlineStr">
        <is>
          <t>linear chair_rail_40x20_at_900 = 10.68 м</t>
        </is>
      </c>
      <c r="K76" s="7" t="inlineStr">
        <is>
          <t>Ремонт</t>
        </is>
      </c>
      <c r="L76" s="7" t="inlineStr">
        <is>
          <t>Э10</t>
        </is>
      </c>
      <c r="M76" s="7" t="inlineStr"/>
    </row>
    <row r="77">
      <c r="A77" s="7" t="n">
        <v>73</v>
      </c>
      <c r="B77" s="7" t="inlineStr">
        <is>
          <t>Молдинг 30 гладкий для рамок (R1 — рамка ТВ-зоны W7; R3 — 3 рамки на W8 [ДОПУЩЕНИЕ 900×1800])</t>
        </is>
      </c>
      <c r="C77" s="7" t="inlineStr">
        <is>
          <t>Европласт / Orac Decor</t>
        </is>
      </c>
      <c r="D77" s="7" t="inlineStr">
        <is>
          <t>Европласт</t>
        </is>
      </c>
      <c r="E77" s="8" t="n">
        <v>26</v>
      </c>
      <c r="F77" s="7" t="inlineStr">
        <is>
          <t>м</t>
        </is>
      </c>
      <c r="G77" s="9" t="n">
        <v>450</v>
      </c>
      <c r="H77" s="9">
        <f>E77*G77</f>
        <v/>
      </c>
      <c r="I77" s="7" t="inlineStr">
        <is>
          <t>R1, R3</t>
        </is>
      </c>
      <c r="J77" s="7" t="inlineStr">
        <is>
          <t>elevations R1 W7 moulding 7.2 м; M14 рамки 16.2 м</t>
        </is>
      </c>
      <c r="K77" s="7" t="inlineStr">
        <is>
          <t>Ремонт</t>
        </is>
      </c>
      <c r="L77" s="7" t="inlineStr">
        <is>
          <t>Э10</t>
        </is>
      </c>
      <c r="M77" s="7" t="inlineStr"/>
    </row>
    <row r="78">
      <c r="A78" s="7" t="n">
        <v>74</v>
      </c>
      <c r="B78" s="7" t="inlineStr">
        <is>
          <t>Клей монтажный для лепнины + акриловый герметик для швов</t>
        </is>
      </c>
      <c r="C78" s="7" t="inlineStr">
        <is>
          <t>Европласт Клей / Orac FX</t>
        </is>
      </c>
      <c r="D78" s="7" t="inlineStr">
        <is>
          <t>Европласт</t>
        </is>
      </c>
      <c r="E78" s="8" t="n">
        <v>25</v>
      </c>
      <c r="F78" s="7" t="inlineStr">
        <is>
          <t>туба</t>
        </is>
      </c>
      <c r="G78" s="9" t="n">
        <v>650</v>
      </c>
      <c r="H78" s="9">
        <f>E78*G78</f>
        <v/>
      </c>
      <c r="I78" s="7" t="inlineStr">
        <is>
          <t>все</t>
        </is>
      </c>
      <c r="J78" s="7" t="inlineStr">
        <is>
          <t>погонаж Σ 123.99 м</t>
        </is>
      </c>
      <c r="K78" s="7" t="inlineStr">
        <is>
          <t>Ремонт</t>
        </is>
      </c>
      <c r="L78" s="7" t="inlineStr">
        <is>
          <t>Э10</t>
        </is>
      </c>
      <c r="M78" s="7" t="inlineStr"/>
    </row>
    <row r="79">
      <c r="A79" s="7" t="n">
        <v>75</v>
      </c>
      <c r="B79" s="7" t="inlineStr">
        <is>
          <t>Эмаль акриловая полуматовая для погонажа и молдингов (C1/C2/C6)</t>
        </is>
      </c>
      <c r="C79" s="7" t="inlineStr">
        <is>
          <t>Derufa / Tikkurila Empire</t>
        </is>
      </c>
      <c r="D79" s="7" t="inlineStr">
        <is>
          <t>Derufa</t>
        </is>
      </c>
      <c r="E79" s="8" t="n">
        <v>7</v>
      </c>
      <c r="F79" s="7" t="inlineStr">
        <is>
          <t>л</t>
        </is>
      </c>
      <c r="G79" s="9" t="n">
        <v>1800</v>
      </c>
      <c r="H79" s="9">
        <f>E79*G79</f>
        <v/>
      </c>
      <c r="I79" s="7" t="inlineStr">
        <is>
          <t>все</t>
        </is>
      </c>
      <c r="J79" s="7" t="inlineStr">
        <is>
          <t>погонаж 123.99 м × 0,25 м² × 2 сл. × 0,1 л</t>
        </is>
      </c>
      <c r="K79" s="7" t="inlineStr">
        <is>
          <t>Ремонт</t>
        </is>
      </c>
      <c r="L79" s="7" t="inlineStr">
        <is>
          <t>Э10</t>
        </is>
      </c>
      <c r="M79" s="7" t="inlineStr"/>
    </row>
    <row r="80">
      <c r="A80" s="7" t="n">
        <v>76</v>
      </c>
      <c r="B80" s="7" t="inlineStr">
        <is>
          <t>Т-профиль латунный 8 мм на клею (стыки J1, J2)</t>
        </is>
      </c>
      <c r="C80" s="7" t="inlineStr">
        <is>
          <t>—</t>
        </is>
      </c>
      <c r="D80" s="7" t="inlineStr">
        <is>
          <t>—</t>
        </is>
      </c>
      <c r="E80" s="8" t="n">
        <v>5.4</v>
      </c>
      <c r="F80" s="7" t="inlineStr">
        <is>
          <t>м</t>
        </is>
      </c>
      <c r="G80" s="9" t="n">
        <v>1900</v>
      </c>
      <c r="H80" s="9">
        <f>E80*G80</f>
        <v/>
      </c>
      <c r="I80" s="7" t="inlineStr">
        <is>
          <t>R3/R7, R4</t>
        </is>
      </c>
      <c r="J80" s="7" t="inlineStr">
        <is>
          <t>counts латунный Т-профиль; J1, J2</t>
        </is>
      </c>
      <c r="K80" s="7" t="inlineStr">
        <is>
          <t>Ремонт</t>
        </is>
      </c>
      <c r="L80" s="7" t="inlineStr">
        <is>
          <t>Э11</t>
        </is>
      </c>
      <c r="M80" s="7" t="inlineStr"/>
    </row>
    <row r="81">
      <c r="A81" s="7" t="n">
        <v>77</v>
      </c>
      <c r="B81" s="7" t="inlineStr">
        <is>
          <t>Компенсатор пробковый 5 мм (стыки J1, J2, J4)</t>
        </is>
      </c>
      <c r="C81" s="7" t="inlineStr">
        <is>
          <t>—</t>
        </is>
      </c>
      <c r="D81" s="7" t="inlineStr">
        <is>
          <t>—</t>
        </is>
      </c>
      <c r="E81" s="8" t="n">
        <v>7</v>
      </c>
      <c r="F81" s="7" t="inlineStr">
        <is>
          <t>м</t>
        </is>
      </c>
      <c r="G81" s="9" t="n">
        <v>250</v>
      </c>
      <c r="H81" s="9">
        <f>E81*G81</f>
        <v/>
      </c>
      <c r="I81" s="7" t="inlineStr">
        <is>
          <t>R1–R4, R7</t>
        </is>
      </c>
      <c r="J81" s="7" t="inlineStr">
        <is>
          <t>floors junctions J1, J2, J4</t>
        </is>
      </c>
      <c r="K81" s="7" t="inlineStr">
        <is>
          <t>Ремонт</t>
        </is>
      </c>
      <c r="L81" s="7" t="inlineStr">
        <is>
          <t>Э11</t>
        </is>
      </c>
      <c r="M81" s="7" t="inlineStr"/>
    </row>
    <row r="82">
      <c r="A82" s="7" t="n">
        <v>78</v>
      </c>
      <c r="B82" s="7" t="inlineStr">
        <is>
          <t>Карниз потолочный профильный 2-рядный в нише (CN-1, CN-2)</t>
        </is>
      </c>
      <c r="C82" s="7" t="inlineStr">
        <is>
          <t>Forest / Mustang-класс</t>
        </is>
      </c>
      <c r="D82" s="7" t="inlineStr">
        <is>
          <t>—</t>
        </is>
      </c>
      <c r="E82" s="8" t="n">
        <v>7</v>
      </c>
      <c r="F82" s="7" t="inlineStr">
        <is>
          <t>м</t>
        </is>
      </c>
      <c r="G82" s="9" t="n">
        <v>1800</v>
      </c>
      <c r="H82" s="9">
        <f>E82*G82</f>
        <v/>
      </c>
      <c r="I82" s="7" t="inlineStr">
        <is>
          <t>R1, R2</t>
        </is>
      </c>
      <c r="J82" s="7" t="inlineStr">
        <is>
          <t>ceilings curtain_niches CN-1, CN-2 = 6.93 м</t>
        </is>
      </c>
      <c r="K82" s="7" t="inlineStr">
        <is>
          <t>Ремонт</t>
        </is>
      </c>
      <c r="L82" s="7" t="inlineStr">
        <is>
          <t>Э13</t>
        </is>
      </c>
      <c r="M82" s="7" t="inlineStr"/>
    </row>
    <row r="83">
      <c r="A83" s="7" t="n">
        <v>79</v>
      </c>
      <c r="B83" s="7" t="inlineStr">
        <is>
          <t>П-образный потолочный карниз с электроприводом Zigbee (B1+B2+B3)</t>
        </is>
      </c>
      <c r="C83" s="7" t="inlineStr">
        <is>
          <t>Aqara / Dooya</t>
        </is>
      </c>
      <c r="D83" s="7" t="inlineStr">
        <is>
          <t>Aqara / Dooya</t>
        </is>
      </c>
      <c r="E83" s="8" t="n">
        <v>1</v>
      </c>
      <c r="F83" s="7" t="inlineStr">
        <is>
          <t>компл</t>
        </is>
      </c>
      <c r="G83" s="9" t="n">
        <v>32000</v>
      </c>
      <c r="H83" s="9">
        <f>E83*G83</f>
        <v/>
      </c>
      <c r="I83" s="7" t="inlineStr">
        <is>
          <t>R7</t>
        </is>
      </c>
      <c r="J83" s="7" t="inlineStr">
        <is>
          <t>F37; CN-3; P-B02; M32</t>
        </is>
      </c>
      <c r="K83" s="7" t="inlineStr">
        <is>
          <t>Ремонт</t>
        </is>
      </c>
      <c r="L83" s="7" t="inlineStr">
        <is>
          <t>Э13</t>
        </is>
      </c>
      <c r="M83" s="7" t="inlineStr"/>
    </row>
    <row r="84">
      <c r="A84" s="7" t="n">
        <v>80</v>
      </c>
      <c r="B84" s="7" t="inlineStr">
        <is>
          <t>Портьеры блэкаут + тюль-лён, пошив (спальня, окно O2)</t>
        </is>
      </c>
      <c r="C84" s="7" t="inlineStr">
        <is>
          <t>Galleria Arben-класс</t>
        </is>
      </c>
      <c r="D84" s="7" t="inlineStr">
        <is>
          <t>ателье</t>
        </is>
      </c>
      <c r="E84" s="8" t="n">
        <v>1</v>
      </c>
      <c r="F84" s="7" t="inlineStr">
        <is>
          <t>компл</t>
        </is>
      </c>
      <c r="G84" s="9" t="n">
        <v>38000</v>
      </c>
      <c r="H84" s="9">
        <f>E84*G84</f>
        <v/>
      </c>
      <c r="I84" s="7" t="inlineStr">
        <is>
          <t>R1</t>
        </is>
      </c>
      <c r="J84" s="7" t="inlineStr">
        <is>
          <t>M09; CN-1</t>
        </is>
      </c>
      <c r="K84" s="7" t="inlineStr">
        <is>
          <t>Ремонт</t>
        </is>
      </c>
      <c r="L84" s="7" t="inlineStr">
        <is>
          <t>Э13</t>
        </is>
      </c>
      <c r="M84" s="7" t="inlineStr"/>
    </row>
    <row r="85">
      <c r="A85" s="7" t="n">
        <v>81</v>
      </c>
      <c r="B85" s="7" t="inlineStr">
        <is>
          <t>Портьеры блэкаут + тюль, пошив (детская, окно O3)</t>
        </is>
      </c>
      <c r="C85" s="7" t="inlineStr">
        <is>
          <t>—</t>
        </is>
      </c>
      <c r="D85" s="7" t="inlineStr">
        <is>
          <t>ателье</t>
        </is>
      </c>
      <c r="E85" s="8" t="n">
        <v>1</v>
      </c>
      <c r="F85" s="7" t="inlineStr">
        <is>
          <t>компл</t>
        </is>
      </c>
      <c r="G85" s="9" t="n">
        <v>26000</v>
      </c>
      <c r="H85" s="9">
        <f>E85*G85</f>
        <v/>
      </c>
      <c r="I85" s="7" t="inlineStr">
        <is>
          <t>R2</t>
        </is>
      </c>
      <c r="J85" s="7" t="inlineStr">
        <is>
          <t>CN-2</t>
        </is>
      </c>
      <c r="K85" s="7" t="inlineStr">
        <is>
          <t>Ремонт</t>
        </is>
      </c>
      <c r="L85" s="7" t="inlineStr">
        <is>
          <t>Э13</t>
        </is>
      </c>
      <c r="M85" s="7" t="inlineStr"/>
    </row>
    <row r="86">
      <c r="A86" s="7" t="n">
        <v>82</v>
      </c>
      <c r="B86" s="7" t="inlineStr">
        <is>
          <t>Портьеры блэкаут C6 на П-карниз балкона, пошив</t>
        </is>
      </c>
      <c r="C86" s="7" t="inlineStr">
        <is>
          <t>—</t>
        </is>
      </c>
      <c r="D86" s="7" t="inlineStr">
        <is>
          <t>ателье</t>
        </is>
      </c>
      <c r="E86" s="8" t="n">
        <v>1</v>
      </c>
      <c r="F86" s="7" t="inlineStr">
        <is>
          <t>компл</t>
        </is>
      </c>
      <c r="G86" s="9" t="n">
        <v>48000</v>
      </c>
      <c r="H86" s="9">
        <f>E86*G86</f>
        <v/>
      </c>
      <c r="I86" s="7" t="inlineStr">
        <is>
          <t>R7</t>
        </is>
      </c>
      <c r="J86" s="7" t="inlineStr">
        <is>
          <t>F37; M32</t>
        </is>
      </c>
      <c r="K86" s="7" t="inlineStr">
        <is>
          <t>Ремонт</t>
        </is>
      </c>
      <c r="L86" s="7" t="inlineStr">
        <is>
          <t>Э13</t>
        </is>
      </c>
      <c r="M86" s="7" t="inlineStr"/>
    </row>
    <row r="88">
      <c r="B88" s="5" t="inlineStr">
        <is>
          <t>Итого по спецификации</t>
        </is>
      </c>
      <c r="H88" s="10">
        <f>SUM(H5:H86)</f>
        <v/>
      </c>
    </row>
    <row r="89">
      <c r="B89" s="5" t="inlineStr">
        <is>
          <t>в т.ч. «Ремонт»</t>
        </is>
      </c>
      <c r="H89" s="10">
        <f>SUMIF(K5:K86,"Ремонт",H5:H86)</f>
        <v/>
      </c>
    </row>
    <row r="90">
      <c r="B90" s="5" t="inlineStr">
        <is>
          <t>в т.ч. «Мебель+техника»</t>
        </is>
      </c>
      <c r="H90" s="10">
        <f>SUMIF(K5:K86,"Мебель+техника",H5:H86)</f>
        <v/>
      </c>
    </row>
  </sheetData>
  <mergeCells count="1"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СП-04.2. Тёплые полы (электро) и ОВ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Нагревательный мат 150 Вт/м², экранированный, 1.5 м² (TP1)</t>
        </is>
      </c>
      <c r="C5" s="7" t="inlineStr">
        <is>
          <t>Теплолюкс / «Национальный комфорт» / DEVI</t>
        </is>
      </c>
      <c r="D5" s="7" t="inlineStr">
        <is>
          <t>Теплолюкс</t>
        </is>
      </c>
      <c r="E5" s="8" t="n">
        <v>1.5</v>
      </c>
      <c r="F5" s="7" t="inlineStr">
        <is>
          <t>м²</t>
        </is>
      </c>
      <c r="G5" s="9" t="n">
        <v>3300</v>
      </c>
      <c r="H5" s="9">
        <f>E5*G5</f>
        <v/>
      </c>
      <c r="I5" s="7" t="inlineStr">
        <is>
          <t>R5</t>
        </is>
      </c>
      <c r="J5" s="7" t="inlineStr">
        <is>
          <t>TP1; heating.json electric_ufh; ОВ-01</t>
        </is>
      </c>
      <c r="K5" s="7" t="inlineStr">
        <is>
          <t>Ремонт</t>
        </is>
      </c>
      <c r="L5" s="7" t="inlineStr">
        <is>
          <t>Э04</t>
        </is>
      </c>
      <c r="M5" s="7" t="inlineStr">
        <is>
          <t>раскладка 1.89 м² → мат 1.5 м² (мат не режется)</t>
        </is>
      </c>
    </row>
    <row r="6">
      <c r="A6" s="7" t="n">
        <v>2</v>
      </c>
      <c r="B6" s="7" t="inlineStr">
        <is>
          <t>Нагревательный мат 150 Вт/м², экранированный, 1.0 м² (TP2)</t>
        </is>
      </c>
      <c r="C6" s="7" t="inlineStr">
        <is>
          <t>Теплолюкс / «Национальный комфорт» / DEVI</t>
        </is>
      </c>
      <c r="D6" s="7" t="inlineStr">
        <is>
          <t>Теплолюкс</t>
        </is>
      </c>
      <c r="E6" s="8" t="n">
        <v>1</v>
      </c>
      <c r="F6" s="7" t="inlineStr">
        <is>
          <t>м²</t>
        </is>
      </c>
      <c r="G6" s="9" t="n">
        <v>3300</v>
      </c>
      <c r="H6" s="9">
        <f>E6*G6</f>
        <v/>
      </c>
      <c r="I6" s="7" t="inlineStr">
        <is>
          <t>R6</t>
        </is>
      </c>
      <c r="J6" s="7" t="inlineStr">
        <is>
          <t>TP2; heating.json electric_ufh; ОВ-01</t>
        </is>
      </c>
      <c r="K6" s="7" t="inlineStr">
        <is>
          <t>Ремонт</t>
        </is>
      </c>
      <c r="L6" s="7" t="inlineStr">
        <is>
          <t>Э04</t>
        </is>
      </c>
      <c r="M6" s="7" t="inlineStr">
        <is>
          <t>раскладка 1.06 м² → мат 1.0 м² (мат не режется)</t>
        </is>
      </c>
    </row>
    <row r="7">
      <c r="A7" s="7" t="n">
        <v>3</v>
      </c>
      <c r="B7" s="7" t="inlineStr">
        <is>
          <t>Нагревательный мат 150 Вт/м², экранированный, 2.0 м² (TP3)</t>
        </is>
      </c>
      <c r="C7" s="7" t="inlineStr">
        <is>
          <t>Теплолюкс / «Национальный комфорт» / DEVI</t>
        </is>
      </c>
      <c r="D7" s="7" t="inlineStr">
        <is>
          <t>Теплолюкс</t>
        </is>
      </c>
      <c r="E7" s="8" t="n">
        <v>2</v>
      </c>
      <c r="F7" s="7" t="inlineStr">
        <is>
          <t>м²</t>
        </is>
      </c>
      <c r="G7" s="9" t="n">
        <v>3300</v>
      </c>
      <c r="H7" s="9">
        <f>E7*G7</f>
        <v/>
      </c>
      <c r="I7" s="7" t="inlineStr">
        <is>
          <t>R7</t>
        </is>
      </c>
      <c r="J7" s="7" t="inlineStr">
        <is>
          <t>TP3; heating.json electric_ufh; ОВ-01</t>
        </is>
      </c>
      <c r="K7" s="7" t="inlineStr">
        <is>
          <t>Ремонт</t>
        </is>
      </c>
      <c r="L7" s="7" t="inlineStr">
        <is>
          <t>Э04</t>
        </is>
      </c>
      <c r="M7" s="7" t="inlineStr">
        <is>
          <t>раскладка 2.32 м² → мат 2.0 м² (мат не режется)</t>
        </is>
      </c>
    </row>
    <row r="8">
      <c r="A8" s="7" t="n">
        <v>4</v>
      </c>
      <c r="B8" s="7" t="inlineStr">
        <is>
          <t>Терморегулятор программируемый Wi-Fi/Zigbee с датчиком пола (T1 — TP1 ванная)</t>
        </is>
      </c>
      <c r="C8" s="7" t="inlineStr">
        <is>
          <t>Теплолюкс MCS 350 / Caleo</t>
        </is>
      </c>
      <c r="D8" s="7" t="inlineStr">
        <is>
          <t>Теплолюкс</t>
        </is>
      </c>
      <c r="E8" s="8" t="n">
        <v>1</v>
      </c>
      <c r="F8" s="7" t="inlineStr">
        <is>
          <t>шт</t>
        </is>
      </c>
      <c r="G8" s="9" t="n">
        <v>7500</v>
      </c>
      <c r="H8" s="9">
        <f>E8*G8</f>
        <v/>
      </c>
      <c r="I8" s="7" t="inlineStr">
        <is>
          <t>R4</t>
        </is>
      </c>
      <c r="J8" s="7" t="inlineStr">
        <is>
          <t>T1; P-V06/P-L05/P-B08</t>
        </is>
      </c>
      <c r="K8" s="7" t="inlineStr">
        <is>
          <t>Ремонт</t>
        </is>
      </c>
      <c r="L8" s="7" t="inlineStr">
        <is>
          <t>Э13</t>
        </is>
      </c>
      <c r="M8" s="7" t="inlineStr"/>
    </row>
    <row r="9">
      <c r="A9" s="7" t="n">
        <v>5</v>
      </c>
      <c r="B9" s="7" t="inlineStr">
        <is>
          <t>Терморегулятор программируемый Wi-Fi/Zigbee с датчиком пола (T2 — TP2 постирочная)</t>
        </is>
      </c>
      <c r="C9" s="7" t="inlineStr">
        <is>
          <t>Теплолюкс MCS 350 / Caleo</t>
        </is>
      </c>
      <c r="D9" s="7" t="inlineStr">
        <is>
          <t>Теплолюкс</t>
        </is>
      </c>
      <c r="E9" s="8" t="n">
        <v>1</v>
      </c>
      <c r="F9" s="7" t="inlineStr">
        <is>
          <t>шт</t>
        </is>
      </c>
      <c r="G9" s="9" t="n">
        <v>7500</v>
      </c>
      <c r="H9" s="9">
        <f>E9*G9</f>
        <v/>
      </c>
      <c r="I9" s="7" t="inlineStr">
        <is>
          <t>R4</t>
        </is>
      </c>
      <c r="J9" s="7" t="inlineStr">
        <is>
          <t>T2; P-V06/P-L05/P-B08</t>
        </is>
      </c>
      <c r="K9" s="7" t="inlineStr">
        <is>
          <t>Ремонт</t>
        </is>
      </c>
      <c r="L9" s="7" t="inlineStr">
        <is>
          <t>Э13</t>
        </is>
      </c>
      <c r="M9" s="7" t="inlineStr"/>
    </row>
    <row r="10">
      <c r="A10" s="7" t="n">
        <v>6</v>
      </c>
      <c r="B10" s="7" t="inlineStr">
        <is>
          <t>Терморегулятор программируемый Wi-Fi/Zigbee с датчиком пола (T3 — TP3 балкон)</t>
        </is>
      </c>
      <c r="C10" s="7" t="inlineStr">
        <is>
          <t>Теплолюкс MCS 350 / Caleo</t>
        </is>
      </c>
      <c r="D10" s="7" t="inlineStr">
        <is>
          <t>Теплолюкс</t>
        </is>
      </c>
      <c r="E10" s="8" t="n">
        <v>1</v>
      </c>
      <c r="F10" s="7" t="inlineStr">
        <is>
          <t>шт</t>
        </is>
      </c>
      <c r="G10" s="9" t="n">
        <v>7500</v>
      </c>
      <c r="H10" s="9">
        <f>E10*G10</f>
        <v/>
      </c>
      <c r="I10" s="7" t="inlineStr">
        <is>
          <t>R7</t>
        </is>
      </c>
      <c r="J10" s="7" t="inlineStr">
        <is>
          <t>T3; P-V06/P-L05/P-B08</t>
        </is>
      </c>
      <c r="K10" s="7" t="inlineStr">
        <is>
          <t>Ремонт</t>
        </is>
      </c>
      <c r="L10" s="7" t="inlineStr">
        <is>
          <t>Э13</t>
        </is>
      </c>
      <c r="M10" s="7" t="inlineStr"/>
    </row>
    <row r="11">
      <c r="A11" s="7" t="n">
        <v>7</v>
      </c>
      <c r="B11" s="7" t="inlineStr">
        <is>
          <t>Гофра Ø16 к датчику пола</t>
        </is>
      </c>
      <c r="C11" s="7" t="inlineStr">
        <is>
          <t>—</t>
        </is>
      </c>
      <c r="D11" s="7" t="inlineStr">
        <is>
          <t>DKC</t>
        </is>
      </c>
      <c r="E11" s="8" t="n">
        <v>10</v>
      </c>
      <c r="F11" s="7" t="inlineStr">
        <is>
          <t>м</t>
        </is>
      </c>
      <c r="G11" s="9" t="n">
        <v>30</v>
      </c>
      <c r="H11" s="9">
        <f>E11*G11</f>
        <v/>
      </c>
      <c r="I11" s="7" t="inlineStr">
        <is>
          <t>R4–R7</t>
        </is>
      </c>
      <c r="J11" s="7" t="inlineStr">
        <is>
          <t>LV27-1, LV27-2, LV27-3</t>
        </is>
      </c>
      <c r="K11" s="7" t="inlineStr">
        <is>
          <t>Ремонт</t>
        </is>
      </c>
      <c r="L11" s="7" t="inlineStr">
        <is>
          <t>Э04</t>
        </is>
      </c>
      <c r="M11" s="7" t="inlineStr"/>
    </row>
    <row r="12">
      <c r="A12" s="7" t="n">
        <v>8</v>
      </c>
      <c r="B12" s="7" t="inlineStr">
        <is>
          <t>Электроконвектор низкий настенный 0.75 кВт, h ≤ 400, крепление к парапету/W2 (KV1)</t>
        </is>
      </c>
      <c r="C12" s="7" t="inlineStr">
        <is>
          <t>Noirot Melodie Evolution Plinthe / Ballu</t>
        </is>
      </c>
      <c r="D12" s="7" t="inlineStr">
        <is>
          <t>Noirot</t>
        </is>
      </c>
      <c r="E12" s="8" t="n">
        <v>1</v>
      </c>
      <c r="F12" s="7" t="inlineStr">
        <is>
          <t>шт</t>
        </is>
      </c>
      <c r="G12" s="9" t="n">
        <v>17000</v>
      </c>
      <c r="H12" s="9">
        <f>E12*G12</f>
        <v/>
      </c>
      <c r="I12" s="7" t="inlineStr">
        <is>
          <t>R7</t>
        </is>
      </c>
      <c r="J12" s="7" t="inlineStr">
        <is>
          <t>KV1; P-B06; D17</t>
        </is>
      </c>
      <c r="K12" s="7" t="inlineStr">
        <is>
          <t>Ремонт</t>
        </is>
      </c>
      <c r="L12" s="7" t="inlineStr">
        <is>
          <t>Э13</t>
        </is>
      </c>
      <c r="M12" s="7" t="inlineStr"/>
    </row>
    <row r="13">
      <c r="A13" s="7" t="n">
        <v>9</v>
      </c>
      <c r="B13" s="7" t="inlineStr">
        <is>
          <t>Электроконвектор низкий настенный 0.75 кВт, h ≤ 400, крепление к парапету/W2 (KV2)</t>
        </is>
      </c>
      <c r="C13" s="7" t="inlineStr">
        <is>
          <t>Noirot Melodie Evolution Plinthe / Ballu</t>
        </is>
      </c>
      <c r="D13" s="7" t="inlineStr">
        <is>
          <t>Noirot</t>
        </is>
      </c>
      <c r="E13" s="8" t="n">
        <v>1</v>
      </c>
      <c r="F13" s="7" t="inlineStr">
        <is>
          <t>шт</t>
        </is>
      </c>
      <c r="G13" s="9" t="n">
        <v>17000</v>
      </c>
      <c r="H13" s="9">
        <f>E13*G13</f>
        <v/>
      </c>
      <c r="I13" s="7" t="inlineStr">
        <is>
          <t>R7</t>
        </is>
      </c>
      <c r="J13" s="7" t="inlineStr">
        <is>
          <t>KV2; P-B07; D17</t>
        </is>
      </c>
      <c r="K13" s="7" t="inlineStr">
        <is>
          <t>Ремонт</t>
        </is>
      </c>
      <c r="L13" s="7" t="inlineStr">
        <is>
          <t>Э13</t>
        </is>
      </c>
      <c r="M13" s="7" t="inlineStr"/>
    </row>
    <row r="14">
      <c r="A14" s="7" t="n">
        <v>10</v>
      </c>
      <c r="B14" s="7" t="inlineStr">
        <is>
          <t>Воздуховод круглый Ø125 гладкий (ПВХ/оцинк.)</t>
        </is>
      </c>
      <c r="C14" s="7" t="inlineStr">
        <is>
          <t>Era / Вентс</t>
        </is>
      </c>
      <c r="D14" s="7" t="inlineStr">
        <is>
          <t>Era</t>
        </is>
      </c>
      <c r="E14" s="8" t="n">
        <v>5</v>
      </c>
      <c r="F14" s="7" t="inlineStr">
        <is>
          <t>м</t>
        </is>
      </c>
      <c r="G14" s="9" t="n">
        <v>650</v>
      </c>
      <c r="H14" s="9">
        <f>E14*G14</f>
        <v/>
      </c>
      <c r="I14" s="7" t="inlineStr">
        <is>
          <t>R3</t>
        </is>
      </c>
      <c r="J14" s="7" t="inlineStr">
        <is>
          <t>KH1 4.05 м; CB-1, CB-2</t>
        </is>
      </c>
      <c r="K14" s="7" t="inlineStr">
        <is>
          <t>Ремонт</t>
        </is>
      </c>
      <c r="L14" s="7" t="inlineStr">
        <is>
          <t>Э05</t>
        </is>
      </c>
      <c r="M14" s="7" t="inlineStr"/>
    </row>
    <row r="15">
      <c r="A15" s="7" t="n">
        <v>11</v>
      </c>
      <c r="B15" s="7" t="inlineStr">
        <is>
          <t>Отводы Ø125 (90°/45°), соединители, хомуты</t>
        </is>
      </c>
      <c r="C15" s="7" t="inlineStr">
        <is>
          <t>Era</t>
        </is>
      </c>
      <c r="D15" s="7" t="inlineStr">
        <is>
          <t>Era</t>
        </is>
      </c>
      <c r="E15" s="8" t="n">
        <v>5</v>
      </c>
      <c r="F15" s="7" t="inlineStr">
        <is>
          <t>шт</t>
        </is>
      </c>
      <c r="G15" s="9" t="n">
        <v>450</v>
      </c>
      <c r="H15" s="9">
        <f>E15*G15</f>
        <v/>
      </c>
      <c r="I15" s="7" t="inlineStr">
        <is>
          <t>R3</t>
        </is>
      </c>
      <c r="J15" s="7" t="inlineStr">
        <is>
          <t>KH1 bends: 3×90° + 2×45°</t>
        </is>
      </c>
      <c r="K15" s="7" t="inlineStr">
        <is>
          <t>Ремонт</t>
        </is>
      </c>
      <c r="L15" s="7" t="inlineStr">
        <is>
          <t>Э05</t>
        </is>
      </c>
      <c r="M15" s="7" t="inlineStr"/>
    </row>
    <row r="16">
      <c r="A16" s="7" t="n">
        <v>12</v>
      </c>
      <c r="B16" s="7" t="inlineStr">
        <is>
          <t>Решётка вентканала комбинированная с обратным клапаном и отверстиями естественной тяги (U13)</t>
        </is>
      </c>
      <c r="C16" s="7" t="inlineStr">
        <is>
          <t>Era / Вентс</t>
        </is>
      </c>
      <c r="D16" s="7" t="inlineStr">
        <is>
          <t>Era</t>
        </is>
      </c>
      <c r="E16" s="8" t="n">
        <v>1</v>
      </c>
      <c r="F16" s="7" t="inlineStr">
        <is>
          <t>шт</t>
        </is>
      </c>
      <c r="G16" s="9" t="n">
        <v>2500</v>
      </c>
      <c r="H16" s="9">
        <f>E16*G16</f>
        <v/>
      </c>
      <c r="I16" s="7" t="inlineStr">
        <is>
          <t>R3</t>
        </is>
      </c>
      <c r="J16" s="7" t="inlineStr">
        <is>
          <t>U13; kitchen.md п.8</t>
        </is>
      </c>
      <c r="K16" s="7" t="inlineStr">
        <is>
          <t>Ремонт</t>
        </is>
      </c>
      <c r="L16" s="7" t="inlineStr">
        <is>
          <t>Э05</t>
        </is>
      </c>
      <c r="M16" s="7" t="inlineStr"/>
    </row>
    <row r="17">
      <c r="A17" s="7" t="n">
        <v>13</v>
      </c>
      <c r="B17" s="7" t="inlineStr">
        <is>
          <t>Вентилятор вытяжной Ø100, обратный клапан, гигростат + таймер, IPX4/IPX5 (EF1)</t>
        </is>
      </c>
      <c r="C17" s="7" t="inlineStr">
        <is>
          <t>Soler&amp;Palau Silent 100 Design / Blauberg</t>
        </is>
      </c>
      <c r="D17" s="7" t="inlineStr">
        <is>
          <t>Soler&amp;Palau</t>
        </is>
      </c>
      <c r="E17" s="8" t="n">
        <v>1</v>
      </c>
      <c r="F17" s="7" t="inlineStr">
        <is>
          <t>шт</t>
        </is>
      </c>
      <c r="G17" s="9" t="n">
        <v>8500</v>
      </c>
      <c r="H17" s="9">
        <f>E17*G17</f>
        <v/>
      </c>
      <c r="I17" s="7" t="inlineStr">
        <is>
          <t>R5</t>
        </is>
      </c>
      <c r="J17" s="7" t="inlineStr">
        <is>
          <t>EF1; P-V05/P-L04</t>
        </is>
      </c>
      <c r="K17" s="7" t="inlineStr">
        <is>
          <t>Ремонт</t>
        </is>
      </c>
      <c r="L17" s="7" t="inlineStr">
        <is>
          <t>Э13</t>
        </is>
      </c>
      <c r="M17" s="7" t="inlineStr"/>
    </row>
    <row r="18">
      <c r="A18" s="7" t="n">
        <v>14</v>
      </c>
      <c r="B18" s="7" t="inlineStr">
        <is>
          <t>Воздуховод Ø100 + врезка в канал (EF1)</t>
        </is>
      </c>
      <c r="C18" s="7" t="inlineStr">
        <is>
          <t>Era</t>
        </is>
      </c>
      <c r="D18" s="7" t="inlineStr">
        <is>
          <t>Era</t>
        </is>
      </c>
      <c r="E18" s="8" t="n">
        <v>1</v>
      </c>
      <c r="F18" s="7" t="inlineStr">
        <is>
          <t>м</t>
        </is>
      </c>
      <c r="G18" s="9" t="n">
        <v>450</v>
      </c>
      <c r="H18" s="9">
        <f>E18*G18</f>
        <v/>
      </c>
      <c r="I18" s="7" t="inlineStr">
        <is>
          <t>R5</t>
        </is>
      </c>
      <c r="J18" s="7" t="inlineStr">
        <is>
          <t>EF1 0.3 м</t>
        </is>
      </c>
      <c r="K18" s="7" t="inlineStr">
        <is>
          <t>Ремонт</t>
        </is>
      </c>
      <c r="L18" s="7" t="inlineStr">
        <is>
          <t>Э05</t>
        </is>
      </c>
      <c r="M18" s="7" t="inlineStr"/>
    </row>
    <row r="19">
      <c r="A19" s="7" t="n">
        <v>15</v>
      </c>
      <c r="B19" s="7" t="inlineStr">
        <is>
          <t>Вентилятор вытяжной Ø100, обратный клапан, гигростат + таймер, IPX4/IPX5 (EF2)</t>
        </is>
      </c>
      <c r="C19" s="7" t="inlineStr">
        <is>
          <t>Soler&amp;Palau Silent 100 Design / Blauberg</t>
        </is>
      </c>
      <c r="D19" s="7" t="inlineStr">
        <is>
          <t>Soler&amp;Palau</t>
        </is>
      </c>
      <c r="E19" s="8" t="n">
        <v>1</v>
      </c>
      <c r="F19" s="7" t="inlineStr">
        <is>
          <t>шт</t>
        </is>
      </c>
      <c r="G19" s="9" t="n">
        <v>8500</v>
      </c>
      <c r="H19" s="9">
        <f>E19*G19</f>
        <v/>
      </c>
      <c r="I19" s="7" t="inlineStr">
        <is>
          <t>R6</t>
        </is>
      </c>
      <c r="J19" s="7" t="inlineStr">
        <is>
          <t>EF2; P-V05/P-L04</t>
        </is>
      </c>
      <c r="K19" s="7" t="inlineStr">
        <is>
          <t>Ремонт</t>
        </is>
      </c>
      <c r="L19" s="7" t="inlineStr">
        <is>
          <t>Э13</t>
        </is>
      </c>
      <c r="M19" s="7" t="inlineStr"/>
    </row>
    <row r="20">
      <c r="A20" s="7" t="n">
        <v>16</v>
      </c>
      <c r="B20" s="7" t="inlineStr">
        <is>
          <t>Воздуховод Ø100 + врезка в канал (EF2)</t>
        </is>
      </c>
      <c r="C20" s="7" t="inlineStr">
        <is>
          <t>Era</t>
        </is>
      </c>
      <c r="D20" s="7" t="inlineStr">
        <is>
          <t>Era</t>
        </is>
      </c>
      <c r="E20" s="8" t="n">
        <v>1</v>
      </c>
      <c r="F20" s="7" t="inlineStr">
        <is>
          <t>м</t>
        </is>
      </c>
      <c r="G20" s="9" t="n">
        <v>450</v>
      </c>
      <c r="H20" s="9">
        <f>E20*G20</f>
        <v/>
      </c>
      <c r="I20" s="7" t="inlineStr">
        <is>
          <t>R6</t>
        </is>
      </c>
      <c r="J20" s="7" t="inlineStr">
        <is>
          <t>EF2 0.4 м</t>
        </is>
      </c>
      <c r="K20" s="7" t="inlineStr">
        <is>
          <t>Ремонт</t>
        </is>
      </c>
      <c r="L20" s="7" t="inlineStr">
        <is>
          <t>Э05</t>
        </is>
      </c>
      <c r="M20" s="7" t="inlineStr"/>
    </row>
    <row r="21">
      <c r="A21" s="7" t="n">
        <v>17</v>
      </c>
      <c r="B21" s="7" t="inlineStr">
        <is>
          <t>Бризер BR1: Бризер спальни (F51)</t>
        </is>
      </c>
      <c r="C21" s="7" t="inlineStr">
        <is>
          <t>Tion 4S / Ballu ONEAIR ASP-200</t>
        </is>
      </c>
      <c r="D21" s="7" t="inlineStr">
        <is>
          <t>Tion / Ballu</t>
        </is>
      </c>
      <c r="E21" s="8" t="n">
        <v>1</v>
      </c>
      <c r="F21" s="7" t="inlineStr">
        <is>
          <t>шт</t>
        </is>
      </c>
      <c r="G21" s="9" t="n">
        <v>58000</v>
      </c>
      <c r="H21" s="9">
        <f>E21*G21</f>
        <v/>
      </c>
      <c r="I21" s="7" t="inlineStr">
        <is>
          <t>R1</t>
        </is>
      </c>
      <c r="J21" s="7" t="inlineStr">
        <is>
          <t>BR1; F51/F59; ОВ-02</t>
        </is>
      </c>
      <c r="K21" s="7" t="inlineStr">
        <is>
          <t>Ремонт</t>
        </is>
      </c>
      <c r="L21" s="7" t="inlineStr">
        <is>
          <t>Э13</t>
        </is>
      </c>
      <c r="M21" s="7" t="inlineStr"/>
    </row>
    <row r="22">
      <c r="A22" s="7" t="n">
        <v>18</v>
      </c>
      <c r="B22" s="7" t="inlineStr">
        <is>
          <t>Бризер BR2: Бризер детской (F59) — компактный</t>
        </is>
      </c>
      <c r="C22" s="7" t="inlineStr">
        <is>
          <t>Ballu ONEAIR ASP-80 / Royal Clima Brezza</t>
        </is>
      </c>
      <c r="D22" s="7" t="inlineStr">
        <is>
          <t>Tion / Ballu</t>
        </is>
      </c>
      <c r="E22" s="8" t="n">
        <v>1</v>
      </c>
      <c r="F22" s="7" t="inlineStr">
        <is>
          <t>шт</t>
        </is>
      </c>
      <c r="G22" s="9" t="n">
        <v>26000</v>
      </c>
      <c r="H22" s="9">
        <f>E22*G22</f>
        <v/>
      </c>
      <c r="I22" s="7" t="inlineStr">
        <is>
          <t>R2</t>
        </is>
      </c>
      <c r="J22" s="7" t="inlineStr">
        <is>
          <t>BR2; F51/F59; ОВ-02</t>
        </is>
      </c>
      <c r="K22" s="7" t="inlineStr">
        <is>
          <t>Ремонт</t>
        </is>
      </c>
      <c r="L22" s="7" t="inlineStr">
        <is>
          <t>Э13</t>
        </is>
      </c>
      <c r="M22" s="7" t="inlineStr"/>
    </row>
    <row r="24">
      <c r="B24" s="5" t="inlineStr">
        <is>
          <t>Итого по спецификации</t>
        </is>
      </c>
      <c r="H24" s="10">
        <f>SUM(H5:H22)</f>
        <v/>
      </c>
    </row>
    <row r="25">
      <c r="B25" s="5" t="inlineStr">
        <is>
          <t>в т.ч. «Ремонт»</t>
        </is>
      </c>
      <c r="H25" s="10">
        <f>SUMIF(K5:K22,"Ремонт",H5:H22)</f>
        <v/>
      </c>
    </row>
    <row r="26">
      <c r="B26" s="5" t="inlineStr">
        <is>
          <t>в т.ч. «Мебель+техника»</t>
        </is>
      </c>
      <c r="H26" s="10">
        <f>SUMIF(K5:K22,"Мебель+техника",H5:H22)</f>
        <v/>
      </c>
    </row>
  </sheetData>
  <mergeCells count="1"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8" customWidth="1" min="3" max="3"/>
    <col width="22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34" customWidth="1" min="10" max="10"/>
    <col width="14" customWidth="1" min="11" max="11"/>
    <col width="9" customWidth="1" min="12" max="12"/>
    <col width="36" customWidth="1" min="13" max="13"/>
  </cols>
  <sheetData>
    <row r="1">
      <c r="A1" s="1" t="inlineStr">
        <is>
          <t>СП-03.4. Слаботочные сети, умный дом, кинозона</t>
        </is>
      </c>
    </row>
    <row r="2" ht="60" customHeight="1">
      <c r="A2" s="2" t="inlineStr">
        <is>
          <t>Цены — ориентировочные для Санкт-Петербурга на 10.2026 (средний сегмент, розница/подрядчики), не являются офертой и подлежат проверке у поставщиков перед закупкой. Материалы — по диапазонам 02-concept/materials.json (price_ref) с поправкой на рост цен 1-го полугодия 2026 (INFOline: плитка +17 %, электрика +15 %, ЛКМ +10 %, напольные +10,5 %); расценки работ — калибровка по открытым прайсам СПб (поиск 2026-10-08, источники в 05-estimate/estimate.md).</t>
        </is>
      </c>
    </row>
    <row r="4">
      <c r="A4" s="3" t="inlineStr">
        <is>
          <t>Поз.</t>
        </is>
      </c>
      <c r="B4" s="3" t="inlineStr">
        <is>
          <t>Наименование</t>
        </is>
      </c>
      <c r="C4" s="3" t="inlineStr">
        <is>
          <t>Артикул / пример</t>
        </is>
      </c>
      <c r="D4" s="3" t="inlineStr">
        <is>
          <t>Производитель</t>
        </is>
      </c>
      <c r="E4" s="3" t="inlineStr">
        <is>
          <t>Кол-во</t>
        </is>
      </c>
      <c r="F4" s="3" t="inlineStr">
        <is>
          <t>Ед.</t>
        </is>
      </c>
      <c r="G4" s="3" t="inlineStr">
        <is>
          <t>Цена ориент., ₽</t>
        </is>
      </c>
      <c r="H4" s="3" t="inlineStr">
        <is>
          <t>Сумма, ₽</t>
        </is>
      </c>
      <c r="I4" s="3" t="inlineStr">
        <is>
          <t>Помещение</t>
        </is>
      </c>
      <c r="J4" s="3" t="inlineStr">
        <is>
          <t>Ссылка (лист / id)</t>
        </is>
      </c>
      <c r="K4" s="3" t="inlineStr">
        <is>
          <t>Бюджет</t>
        </is>
      </c>
      <c r="L4" s="3" t="inlineStr">
        <is>
          <t>Этап сметы</t>
        </is>
      </c>
      <c r="M4" s="3" t="inlineStr">
        <is>
          <t>Примечание / расчёт кол-ва</t>
        </is>
      </c>
    </row>
    <row r="5">
      <c r="A5" s="7" t="n">
        <v>1</v>
      </c>
      <c r="B5" s="7" t="inlineStr">
        <is>
          <t>Щит слаботочный 400×500×120 накладной (U16) с DIN-рейкой и полкой</t>
        </is>
      </c>
      <c r="C5" s="7" t="inlineStr">
        <is>
          <t>ЩМП / Hager</t>
        </is>
      </c>
      <c r="D5" s="7" t="inlineStr">
        <is>
          <t>Hager / ЩМП</t>
        </is>
      </c>
      <c r="E5" s="8" t="n">
        <v>1</v>
      </c>
      <c r="F5" s="7" t="inlineStr">
        <is>
          <t>шт</t>
        </is>
      </c>
      <c r="G5" s="9" t="n">
        <v>9000</v>
      </c>
      <c r="H5" s="9">
        <f>E5*G5</f>
        <v/>
      </c>
      <c r="I5" s="7" t="inlineStr">
        <is>
          <t>R4</t>
        </is>
      </c>
      <c r="J5" s="7" t="inlineStr">
        <is>
          <t>U16; LV00; F64; D14</t>
        </is>
      </c>
      <c r="K5" s="7" t="inlineStr">
        <is>
          <t>Ремонт</t>
        </is>
      </c>
      <c r="L5" s="7" t="inlineStr">
        <is>
          <t>Э04</t>
        </is>
      </c>
      <c r="M5" s="7" t="inlineStr"/>
    </row>
    <row r="6">
      <c r="A6" s="7" t="n">
        <v>2</v>
      </c>
      <c r="B6" s="7" t="inlineStr">
        <is>
          <t>Роутер Wi-Fi 6 (mesh-совместимый)</t>
        </is>
      </c>
      <c r="C6" s="7" t="inlineStr">
        <is>
          <t>Keenetic / TP-Link</t>
        </is>
      </c>
      <c r="D6" s="7" t="inlineStr">
        <is>
          <t>Keenetic</t>
        </is>
      </c>
      <c r="E6" s="8" t="n">
        <v>1</v>
      </c>
      <c r="F6" s="7" t="inlineStr">
        <is>
          <t>шт</t>
        </is>
      </c>
      <c r="G6" s="9" t="n">
        <v>12000</v>
      </c>
      <c r="H6" s="9">
        <f>E6*G6</f>
        <v/>
      </c>
      <c r="I6" s="7" t="inlineStr">
        <is>
          <t>R4</t>
        </is>
      </c>
      <c r="J6" s="7" t="inlineStr">
        <is>
          <t>LV00; F64</t>
        </is>
      </c>
      <c r="K6" s="7" t="inlineStr">
        <is>
          <t>Ремонт</t>
        </is>
      </c>
      <c r="L6" s="7" t="inlineStr">
        <is>
          <t>Э13</t>
        </is>
      </c>
      <c r="M6" s="7" t="inlineStr">
        <is>
          <t>ONT — провайдера</t>
        </is>
      </c>
    </row>
    <row r="7">
      <c r="A7" s="7" t="n">
        <v>3</v>
      </c>
      <c r="B7" s="7" t="inlineStr">
        <is>
          <t>Коммутатор PoE 8 портов</t>
        </is>
      </c>
      <c r="C7" s="7" t="inlineStr">
        <is>
          <t>TP-Link / Keenetic</t>
        </is>
      </c>
      <c r="D7" s="7" t="inlineStr">
        <is>
          <t>TP-Link</t>
        </is>
      </c>
      <c r="E7" s="8" t="n">
        <v>1</v>
      </c>
      <c r="F7" s="7" t="inlineStr">
        <is>
          <t>шт</t>
        </is>
      </c>
      <c r="G7" s="9" t="n">
        <v>9000</v>
      </c>
      <c r="H7" s="9">
        <f>E7*G7</f>
        <v/>
      </c>
      <c r="I7" s="7" t="inlineStr">
        <is>
          <t>R4</t>
        </is>
      </c>
      <c r="J7" s="7" t="inlineStr">
        <is>
          <t>LV00</t>
        </is>
      </c>
      <c r="K7" s="7" t="inlineStr">
        <is>
          <t>Ремонт</t>
        </is>
      </c>
      <c r="L7" s="7" t="inlineStr">
        <is>
          <t>Э13</t>
        </is>
      </c>
      <c r="M7" s="7" t="inlineStr"/>
    </row>
    <row r="8">
      <c r="A8" s="7" t="n">
        <v>4</v>
      </c>
      <c r="B8" s="7" t="inlineStr">
        <is>
          <t>Патч-панель Cat6 12p + патч-корды</t>
        </is>
      </c>
      <c r="C8" s="7" t="inlineStr">
        <is>
          <t>Hyperline</t>
        </is>
      </c>
      <c r="D8" s="7" t="inlineStr">
        <is>
          <t>Hyperline</t>
        </is>
      </c>
      <c r="E8" s="8" t="n">
        <v>1</v>
      </c>
      <c r="F8" s="7" t="inlineStr">
        <is>
          <t>компл</t>
        </is>
      </c>
      <c r="G8" s="9" t="n">
        <v>6000</v>
      </c>
      <c r="H8" s="9">
        <f>E8*G8</f>
        <v/>
      </c>
      <c r="I8" s="7" t="inlineStr">
        <is>
          <t>R4</t>
        </is>
      </c>
      <c r="J8" s="7" t="inlineStr">
        <is>
          <t>LV00</t>
        </is>
      </c>
      <c r="K8" s="7" t="inlineStr">
        <is>
          <t>Ремонт</t>
        </is>
      </c>
      <c r="L8" s="7" t="inlineStr">
        <is>
          <t>Э04</t>
        </is>
      </c>
      <c r="M8" s="7" t="inlineStr"/>
    </row>
    <row r="9">
      <c r="A9" s="7" t="n">
        <v>5</v>
      </c>
      <c r="B9" s="7" t="inlineStr">
        <is>
          <t>Точка доступа Wi-Fi потолочная PoE</t>
        </is>
      </c>
      <c r="C9" s="7" t="inlineStr">
        <is>
          <t>TP-Link EAP / Keenetic Voyager</t>
        </is>
      </c>
      <c r="D9" s="7" t="inlineStr">
        <is>
          <t>TP-Link</t>
        </is>
      </c>
      <c r="E9" s="8" t="n">
        <v>1</v>
      </c>
      <c r="F9" s="7" t="inlineStr">
        <is>
          <t>шт</t>
        </is>
      </c>
      <c r="G9" s="9" t="n">
        <v>12000</v>
      </c>
      <c r="H9" s="9">
        <f>E9*G9</f>
        <v/>
      </c>
      <c r="I9" s="7" t="inlineStr">
        <is>
          <t>R4</t>
        </is>
      </c>
      <c r="J9" s="7" t="inlineStr">
        <is>
          <t>F65; LV13</t>
        </is>
      </c>
      <c r="K9" s="7" t="inlineStr">
        <is>
          <t>Ремонт</t>
        </is>
      </c>
      <c r="L9" s="7" t="inlineStr">
        <is>
          <t>Э13</t>
        </is>
      </c>
      <c r="M9" s="7" t="inlineStr"/>
    </row>
    <row r="10">
      <c r="A10" s="7" t="n">
        <v>6</v>
      </c>
      <c r="B10" s="7" t="inlineStr">
        <is>
          <t>Розетка RJ45 Cat6 (серия ArtGallery)</t>
        </is>
      </c>
      <c r="C10" s="7" t="inlineStr">
        <is>
          <t>ArtGallery</t>
        </is>
      </c>
      <c r="D10" s="7" t="inlineStr">
        <is>
          <t>Systeme Electric</t>
        </is>
      </c>
      <c r="E10" s="8" t="n">
        <v>4</v>
      </c>
      <c r="F10" s="7" t="inlineStr">
        <is>
          <t>шт</t>
        </is>
      </c>
      <c r="G10" s="9" t="n">
        <v>1300</v>
      </c>
      <c r="H10" s="9">
        <f>E10*G10</f>
        <v/>
      </c>
      <c r="I10" s="7" t="inlineStr">
        <is>
          <t>R1, R2, R7</t>
        </is>
      </c>
      <c r="J10" s="7" t="inlineStr">
        <is>
          <t>LV02, LV05, LV06, LV07</t>
        </is>
      </c>
      <c r="K10" s="7" t="inlineStr">
        <is>
          <t>Ремонт</t>
        </is>
      </c>
      <c r="L10" s="7" t="inlineStr">
        <is>
          <t>Э13</t>
        </is>
      </c>
      <c r="M10" s="7" t="inlineStr"/>
    </row>
    <row r="11">
      <c r="A11" s="7" t="n">
        <v>7</v>
      </c>
      <c r="B11" s="7" t="inlineStr">
        <is>
          <t>Розетка TV (серия ArtGallery)</t>
        </is>
      </c>
      <c r="C11" s="7" t="inlineStr">
        <is>
          <t>ArtGallery</t>
        </is>
      </c>
      <c r="D11" s="7" t="inlineStr">
        <is>
          <t>Systeme Electric</t>
        </is>
      </c>
      <c r="E11" s="8" t="n">
        <v>1</v>
      </c>
      <c r="F11" s="7" t="inlineStr">
        <is>
          <t>шт</t>
        </is>
      </c>
      <c r="G11" s="9" t="n">
        <v>900</v>
      </c>
      <c r="H11" s="9">
        <f>E11*G11</f>
        <v/>
      </c>
      <c r="I11" s="7" t="inlineStr">
        <is>
          <t>R1</t>
        </is>
      </c>
      <c r="J11" s="7" t="inlineStr">
        <is>
          <t>LV03</t>
        </is>
      </c>
      <c r="K11" s="7" t="inlineStr">
        <is>
          <t>Ремонт</t>
        </is>
      </c>
      <c r="L11" s="7" t="inlineStr">
        <is>
          <t>Э13</t>
        </is>
      </c>
      <c r="M11" s="7" t="inlineStr"/>
    </row>
    <row r="12">
      <c r="A12" s="7" t="n">
        <v>8</v>
      </c>
      <c r="B12" s="7" t="inlineStr">
        <is>
          <t>Кабель U/FTP Cat6 нг(А)-HF</t>
        </is>
      </c>
      <c r="C12" s="7" t="inlineStr">
        <is>
          <t>Hyperline / Netlan</t>
        </is>
      </c>
      <c r="D12" s="7" t="inlineStr">
        <is>
          <t>Hyperline</t>
        </is>
      </c>
      <c r="E12" s="8" t="n">
        <v>75</v>
      </c>
      <c r="F12" s="7" t="inlineStr">
        <is>
          <t>м</t>
        </is>
      </c>
      <c r="G12" s="9" t="n">
        <v>95</v>
      </c>
      <c r="H12" s="9">
        <f>E12*G12</f>
        <v/>
      </c>
      <c r="I12" s="7" t="inlineStr">
        <is>
          <t>все</t>
        </is>
      </c>
      <c r="J12" s="7" t="inlineStr">
        <is>
          <t>LV02, LV05, LV06, LV07, LV13, LV08 — трассы по потолку + 15 %</t>
        </is>
      </c>
      <c r="K12" s="7" t="inlineStr">
        <is>
          <t>Ремонт</t>
        </is>
      </c>
      <c r="L12" s="7" t="inlineStr">
        <is>
          <t>Э04</t>
        </is>
      </c>
      <c r="M12" s="7" t="inlineStr"/>
    </row>
    <row r="13">
      <c r="A13" s="7" t="n">
        <v>9</v>
      </c>
      <c r="B13" s="7" t="inlineStr">
        <is>
          <t>Кабель коаксиальный RG-6 нг</t>
        </is>
      </c>
      <c r="C13" s="7" t="inlineStr">
        <is>
          <t>Cavel / Rexant</t>
        </is>
      </c>
      <c r="D13" s="7" t="inlineStr">
        <is>
          <t>Cavel</t>
        </is>
      </c>
      <c r="E13" s="8" t="n">
        <v>15</v>
      </c>
      <c r="F13" s="7" t="inlineStr">
        <is>
          <t>м</t>
        </is>
      </c>
      <c r="G13" s="9" t="n">
        <v>50</v>
      </c>
      <c r="H13" s="9">
        <f>E13*G13</f>
        <v/>
      </c>
      <c r="I13" s="7" t="inlineStr">
        <is>
          <t>R1</t>
        </is>
      </c>
      <c r="J13" s="7" t="inlineStr">
        <is>
          <t>LV03</t>
        </is>
      </c>
      <c r="K13" s="7" t="inlineStr">
        <is>
          <t>Ремонт</t>
        </is>
      </c>
      <c r="L13" s="7" t="inlineStr">
        <is>
          <t>Э04</t>
        </is>
      </c>
      <c r="M13" s="7" t="inlineStr"/>
    </row>
    <row r="14">
      <c r="A14" s="7" t="n">
        <v>10</v>
      </c>
      <c r="B14" s="7" t="inlineStr">
        <is>
          <t>Кабель акустический 2×2,5</t>
        </is>
      </c>
      <c r="C14" s="7" t="inlineStr">
        <is>
          <t>Acoustic / Cordial</t>
        </is>
      </c>
      <c r="D14" s="7" t="inlineStr">
        <is>
          <t>—</t>
        </is>
      </c>
      <c r="E14" s="8" t="n">
        <v>20</v>
      </c>
      <c r="F14" s="7" t="inlineStr">
        <is>
          <t>м</t>
        </is>
      </c>
      <c r="G14" s="9" t="n">
        <v>130</v>
      </c>
      <c r="H14" s="9">
        <f>E14*G14</f>
        <v/>
      </c>
      <c r="I14" s="7" t="inlineStr">
        <is>
          <t>R7</t>
        </is>
      </c>
      <c r="J14" s="7" t="inlineStr">
        <is>
          <t>LV09, LV10</t>
        </is>
      </c>
      <c r="K14" s="7" t="inlineStr">
        <is>
          <t>Ремонт</t>
        </is>
      </c>
      <c r="L14" s="7" t="inlineStr">
        <is>
          <t>Э04</t>
        </is>
      </c>
      <c r="M14" s="7" t="inlineStr"/>
    </row>
    <row r="15">
      <c r="A15" s="7" t="n">
        <v>11</v>
      </c>
      <c r="B15" s="7" t="inlineStr">
        <is>
          <t>Кабель датчиков протечки 3×0,5 нг</t>
        </is>
      </c>
      <c r="C15" s="7" t="inlineStr">
        <is>
          <t>КСВВнг(А)-LS / ПВСнг</t>
        </is>
      </c>
      <c r="D15" s="7" t="inlineStr">
        <is>
          <t>—</t>
        </is>
      </c>
      <c r="E15" s="8" t="n">
        <v>70</v>
      </c>
      <c r="F15" s="7" t="inlineStr">
        <is>
          <t>м</t>
        </is>
      </c>
      <c r="G15" s="9" t="n">
        <v>35</v>
      </c>
      <c r="H15" s="9">
        <f>E15*G15</f>
        <v/>
      </c>
      <c r="I15" s="7" t="inlineStr">
        <is>
          <t>R3, R5, R6</t>
        </is>
      </c>
      <c r="J15" s="7" t="inlineStr">
        <is>
          <t>LV14, LV15-1, LV15-2, LV15-3, LV16-1, LV16-2, LV16-3</t>
        </is>
      </c>
      <c r="K15" s="7" t="inlineStr">
        <is>
          <t>Ремонт</t>
        </is>
      </c>
      <c r="L15" s="7" t="inlineStr">
        <is>
          <t>Э04</t>
        </is>
      </c>
      <c r="M15" s="7" t="inlineStr"/>
    </row>
    <row r="16">
      <c r="A16" s="7" t="n">
        <v>12</v>
      </c>
      <c r="B16" s="7" t="inlineStr">
        <is>
          <t>Кабель питания электрокранов 3×0,75 нг (12 В)</t>
        </is>
      </c>
      <c r="C16" s="7" t="inlineStr">
        <is>
          <t>ПВСнг(А)-LS</t>
        </is>
      </c>
      <c r="D16" s="7" t="inlineStr">
        <is>
          <t>—</t>
        </is>
      </c>
      <c r="E16" s="8" t="n">
        <v>20</v>
      </c>
      <c r="F16" s="7" t="inlineStr">
        <is>
          <t>м</t>
        </is>
      </c>
      <c r="G16" s="9" t="n">
        <v>55</v>
      </c>
      <c r="H16" s="9">
        <f>E16*G16</f>
        <v/>
      </c>
      <c r="I16" s="7" t="inlineStr">
        <is>
          <t>R5, R6</t>
        </is>
      </c>
      <c r="J16" s="7" t="inlineStr">
        <is>
          <t>LV17, LV18</t>
        </is>
      </c>
      <c r="K16" s="7" t="inlineStr">
        <is>
          <t>Ремонт</t>
        </is>
      </c>
      <c r="L16" s="7" t="inlineStr">
        <is>
          <t>Э04</t>
        </is>
      </c>
      <c r="M16" s="7" t="inlineStr"/>
    </row>
    <row r="17">
      <c r="A17" s="7" t="n">
        <v>13</v>
      </c>
      <c r="B17" s="7" t="inlineStr">
        <is>
          <t>Гофра Ø32 (AV-трасса) / Ø25 (ТВ-ниша → консоль) + 12В-триггер 2×0,75</t>
        </is>
      </c>
      <c r="C17" s="7" t="inlineStr">
        <is>
          <t>DKC</t>
        </is>
      </c>
      <c r="D17" s="7" t="inlineStr">
        <is>
          <t>DKC</t>
        </is>
      </c>
      <c r="E17" s="8" t="n">
        <v>7</v>
      </c>
      <c r="F17" s="7" t="inlineStr">
        <is>
          <t>м</t>
        </is>
      </c>
      <c r="G17" s="9" t="n">
        <v>90</v>
      </c>
      <c r="H17" s="9">
        <f>E17*G17</f>
        <v/>
      </c>
      <c r="I17" s="7" t="inlineStr">
        <is>
          <t>R1, R7</t>
        </is>
      </c>
      <c r="J17" s="7" t="inlineStr">
        <is>
          <t>LV08, LV04, LV11</t>
        </is>
      </c>
      <c r="K17" s="7" t="inlineStr">
        <is>
          <t>Ремонт</t>
        </is>
      </c>
      <c r="L17" s="7" t="inlineStr">
        <is>
          <t>Э04</t>
        </is>
      </c>
      <c r="M17" s="7" t="inlineStr"/>
    </row>
    <row r="18">
      <c r="A18" s="7" t="n">
        <v>14</v>
      </c>
      <c r="B18" s="7" t="inlineStr">
        <is>
          <t>Кабель HDMI 2.1 оптический (AOC) 10 м</t>
        </is>
      </c>
      <c r="C18" s="7" t="inlineStr">
        <is>
          <t>Cablexpert / Ugreen</t>
        </is>
      </c>
      <c r="D18" s="7" t="inlineStr">
        <is>
          <t>—</t>
        </is>
      </c>
      <c r="E18" s="8" t="n">
        <v>1</v>
      </c>
      <c r="F18" s="7" t="inlineStr">
        <is>
          <t>шт</t>
        </is>
      </c>
      <c r="G18" s="9" t="n">
        <v>9000</v>
      </c>
      <c r="H18" s="9">
        <f>E18*G18</f>
        <v/>
      </c>
      <c r="I18" s="7" t="inlineStr">
        <is>
          <t>R7</t>
        </is>
      </c>
      <c r="J18" s="7" t="inlineStr">
        <is>
          <t>LV08</t>
        </is>
      </c>
      <c r="K18" s="7" t="inlineStr">
        <is>
          <t>Ремонт</t>
        </is>
      </c>
      <c r="L18" s="7" t="inlineStr">
        <is>
          <t>Э04</t>
        </is>
      </c>
      <c r="M18" s="7" t="inlineStr"/>
    </row>
    <row r="19">
      <c r="A19" s="7" t="n">
        <v>15</v>
      </c>
      <c r="B19" s="7" t="inlineStr">
        <is>
          <t>Шлюз Zigbee (Яндекс-совместимый)</t>
        </is>
      </c>
      <c r="C19" s="7" t="inlineStr">
        <is>
          <t>Яндекс Хаб / Aqara M2</t>
        </is>
      </c>
      <c r="D19" s="7" t="inlineStr">
        <is>
          <t>Яндекс / Aqara</t>
        </is>
      </c>
      <c r="E19" s="8" t="n">
        <v>1</v>
      </c>
      <c r="F19" s="7" t="inlineStr">
        <is>
          <t>шт</t>
        </is>
      </c>
      <c r="G19" s="9" t="n">
        <v>7000</v>
      </c>
      <c r="H19" s="9">
        <f>E19*G19</f>
        <v/>
      </c>
      <c r="I19" s="7" t="inlineStr">
        <is>
          <t>R4</t>
        </is>
      </c>
      <c r="J19" s="7" t="inlineStr">
        <is>
          <t>LV20</t>
        </is>
      </c>
      <c r="K19" s="7" t="inlineStr">
        <is>
          <t>Ремонт</t>
        </is>
      </c>
      <c r="L19" s="7" t="inlineStr">
        <is>
          <t>Э13</t>
        </is>
      </c>
      <c r="M19" s="7" t="inlineStr"/>
    </row>
    <row r="20">
      <c r="A20" s="7" t="n">
        <v>16</v>
      </c>
      <c r="B20" s="7" t="inlineStr">
        <is>
          <t>Контроллер защиты от протечек 12 В с АКБ (проводные датчики, Zigbee/Wi-Fi)</t>
        </is>
      </c>
      <c r="C20" s="7" t="inlineStr">
        <is>
          <t>Neptun ProW+ / Аквасторож Эксперт</t>
        </is>
      </c>
      <c r="D20" s="7" t="inlineStr">
        <is>
          <t>Neptun</t>
        </is>
      </c>
      <c r="E20" s="8" t="n">
        <v>1</v>
      </c>
      <c r="F20" s="7" t="inlineStr">
        <is>
          <t>шт</t>
        </is>
      </c>
      <c r="G20" s="9" t="n">
        <v>18000</v>
      </c>
      <c r="H20" s="9">
        <f>E20*G20</f>
        <v/>
      </c>
      <c r="I20" s="7" t="inlineStr">
        <is>
          <t>R4</t>
        </is>
      </c>
      <c r="J20" s="7" t="inlineStr">
        <is>
          <t>plumbing.json leak_protection; F64</t>
        </is>
      </c>
      <c r="K20" s="7" t="inlineStr">
        <is>
          <t>Ремонт</t>
        </is>
      </c>
      <c r="L20" s="7" t="inlineStr">
        <is>
          <t>Э13</t>
        </is>
      </c>
      <c r="M20" s="7" t="inlineStr"/>
    </row>
    <row r="21">
      <c r="A21" s="7" t="n">
        <v>17</v>
      </c>
      <c r="B21" s="7" t="inlineStr">
        <is>
          <t>Кран шаровой с электроприводом 12 В ½″–¾″</t>
        </is>
      </c>
      <c r="C21" s="7" t="inlineStr">
        <is>
          <t>Neptun Bugatti Pro 12 В</t>
        </is>
      </c>
      <c r="D21" s="7" t="inlineStr">
        <is>
          <t>Neptun</t>
        </is>
      </c>
      <c r="E21" s="8" t="n">
        <v>4</v>
      </c>
      <c r="F21" s="7" t="inlineStr">
        <is>
          <t>шт</t>
        </is>
      </c>
      <c r="G21" s="9" t="n">
        <v>8500</v>
      </c>
      <c r="H21" s="9">
        <f>E21*G21</f>
        <v/>
      </c>
      <c r="I21" s="7" t="inlineStr">
        <is>
          <t>R5, R6</t>
        </is>
      </c>
      <c r="J21" s="7" t="inlineStr">
        <is>
          <t>EV1, EV2, EV3, EV4; F77, F82</t>
        </is>
      </c>
      <c r="K21" s="7" t="inlineStr">
        <is>
          <t>Ремонт</t>
        </is>
      </c>
      <c r="L21" s="7" t="inlineStr">
        <is>
          <t>Э05</t>
        </is>
      </c>
      <c r="M21" s="7" t="inlineStr"/>
    </row>
    <row r="22">
      <c r="A22" s="7" t="n">
        <v>18</v>
      </c>
      <c r="B22" s="7" t="inlineStr">
        <is>
          <t>Датчик протечки проводной</t>
        </is>
      </c>
      <c r="C22" s="7" t="inlineStr">
        <is>
          <t>Neptun SW005</t>
        </is>
      </c>
      <c r="D22" s="7" t="inlineStr">
        <is>
          <t>Neptun</t>
        </is>
      </c>
      <c r="E22" s="8" t="n">
        <v>7</v>
      </c>
      <c r="F22" s="7" t="inlineStr">
        <is>
          <t>шт</t>
        </is>
      </c>
      <c r="G22" s="9" t="n">
        <v>1800</v>
      </c>
      <c r="H22" s="9">
        <f>E22*G22</f>
        <v/>
      </c>
      <c r="I22" s="7" t="inlineStr">
        <is>
          <t>R3, R5, R6</t>
        </is>
      </c>
      <c r="J22" s="7" t="inlineStr">
        <is>
          <t>LS1, LS2, LS3, LS4, LS5, LS6, LS7; F22, F76, F81</t>
        </is>
      </c>
      <c r="K22" s="7" t="inlineStr">
        <is>
          <t>Ремонт</t>
        </is>
      </c>
      <c r="L22" s="7" t="inlineStr">
        <is>
          <t>Э13</t>
        </is>
      </c>
      <c r="M22" s="7" t="inlineStr"/>
    </row>
    <row r="23">
      <c r="A23" s="7" t="n">
        <v>19</v>
      </c>
      <c r="B23" s="7" t="inlineStr">
        <is>
          <t>ИБП 600 ВА для СС-щита (роутер, шлюз, контроллер)</t>
        </is>
      </c>
      <c r="C23" s="7" t="inlineStr">
        <is>
          <t>Ippon / APC</t>
        </is>
      </c>
      <c r="D23" s="7" t="inlineStr">
        <is>
          <t>Ippon</t>
        </is>
      </c>
      <c r="E23" s="8" t="n">
        <v>1</v>
      </c>
      <c r="F23" s="7" t="inlineStr">
        <is>
          <t>шт</t>
        </is>
      </c>
      <c r="G23" s="9" t="n">
        <v>7000</v>
      </c>
      <c r="H23" s="9">
        <f>E23*G23</f>
        <v/>
      </c>
      <c r="I23" s="7" t="inlineStr">
        <is>
          <t>R4</t>
        </is>
      </c>
      <c r="J23" s="7" t="inlineStr">
        <is>
          <t>leak_protection.controller</t>
        </is>
      </c>
      <c r="K23" s="7" t="inlineStr">
        <is>
          <t>Ремонт</t>
        </is>
      </c>
      <c r="L23" s="7" t="inlineStr">
        <is>
          <t>Э13</t>
        </is>
      </c>
      <c r="M23" s="7" t="inlineStr"/>
    </row>
    <row r="24">
      <c r="A24" s="7" t="n">
        <v>20</v>
      </c>
      <c r="B24" s="7" t="inlineStr">
        <is>
          <t>Датчик открытия Zigbee (окна O2, O3, створки балкона, вход)</t>
        </is>
      </c>
      <c r="C24" s="7" t="inlineStr">
        <is>
          <t>Aqara</t>
        </is>
      </c>
      <c r="D24" s="7" t="inlineStr">
        <is>
          <t>Aqara</t>
        </is>
      </c>
      <c r="E24" s="8" t="n">
        <v>6</v>
      </c>
      <c r="F24" s="7" t="inlineStr">
        <is>
          <t>шт</t>
        </is>
      </c>
      <c r="G24" s="9" t="n">
        <v>1900</v>
      </c>
      <c r="H24" s="9">
        <f>E24*G24</f>
        <v/>
      </c>
      <c r="I24" s="7" t="inlineStr">
        <is>
          <t>R1, R2, R4, R7</t>
        </is>
      </c>
      <c r="J24" s="7" t="inlineStr">
        <is>
          <t>LV21</t>
        </is>
      </c>
      <c r="K24" s="7" t="inlineStr">
        <is>
          <t>Ремонт</t>
        </is>
      </c>
      <c r="L24" s="7" t="inlineStr">
        <is>
          <t>Э13</t>
        </is>
      </c>
      <c r="M24" s="7" t="inlineStr"/>
    </row>
    <row r="25">
      <c r="A25" s="7" t="n">
        <v>21</v>
      </c>
      <c r="B25" s="7" t="inlineStr">
        <is>
          <t>Сценарная кнопка Zigbee (Утро/Ужин/Кино/Уход)</t>
        </is>
      </c>
      <c r="C25" s="7" t="inlineStr">
        <is>
          <t>Aqara Wireless Mini / Opple</t>
        </is>
      </c>
      <c r="D25" s="7" t="inlineStr">
        <is>
          <t>Aqara</t>
        </is>
      </c>
      <c r="E25" s="8" t="n">
        <v>4</v>
      </c>
      <c r="F25" s="7" t="inlineStr">
        <is>
          <t>шт</t>
        </is>
      </c>
      <c r="G25" s="9" t="n">
        <v>2500</v>
      </c>
      <c r="H25" s="9">
        <f>E25*G25</f>
        <v/>
      </c>
      <c r="I25" s="7" t="inlineStr">
        <is>
          <t>R2, R3, R4, R7</t>
        </is>
      </c>
      <c r="J25" s="7" t="inlineStr">
        <is>
          <t>ZB-1, ZB-2, ZB-3, ZB-4; LV22</t>
        </is>
      </c>
      <c r="K25" s="7" t="inlineStr">
        <is>
          <t>Ремонт</t>
        </is>
      </c>
      <c r="L25" s="7" t="inlineStr">
        <is>
          <t>Э13</t>
        </is>
      </c>
      <c r="M25" s="7" t="inlineStr"/>
    </row>
    <row r="26">
      <c r="A26" s="7" t="n">
        <v>22</v>
      </c>
      <c r="B26" s="7" t="inlineStr">
        <is>
          <t>Датчик движения (потолочный 230 В / SELV / батарейный)</t>
        </is>
      </c>
      <c r="C26" s="7" t="inlineStr">
        <is>
          <t>Aqara / Arlight</t>
        </is>
      </c>
      <c r="D26" s="7" t="inlineStr">
        <is>
          <t>Aqara</t>
        </is>
      </c>
      <c r="E26" s="8" t="n">
        <v>4</v>
      </c>
      <c r="F26" s="7" t="inlineStr">
        <is>
          <t>шт</t>
        </is>
      </c>
      <c r="G26" s="9" t="n">
        <v>2600</v>
      </c>
      <c r="H26" s="9">
        <f>E26*G26</f>
        <v/>
      </c>
      <c r="I26" s="7" t="inlineStr">
        <is>
          <t>R1, R4, R5</t>
        </is>
      </c>
      <c r="J26" s="7" t="inlineStr">
        <is>
          <t>LV23, LV24, LV25, LV26</t>
        </is>
      </c>
      <c r="K26" s="7" t="inlineStr">
        <is>
          <t>Ремонт</t>
        </is>
      </c>
      <c r="L26" s="7" t="inlineStr">
        <is>
          <t>Э13</t>
        </is>
      </c>
      <c r="M26" s="7" t="inlineStr"/>
    </row>
    <row r="27">
      <c r="A27" s="7" t="n">
        <v>23</v>
      </c>
      <c r="B27" s="7" t="inlineStr">
        <is>
          <t>Модуль Zigbee привода экрана (ZB-SCR)</t>
        </is>
      </c>
      <c r="C27" s="7" t="inlineStr">
        <is>
          <t>Aqara / Sonoff</t>
        </is>
      </c>
      <c r="D27" s="7" t="inlineStr">
        <is>
          <t>Aqara</t>
        </is>
      </c>
      <c r="E27" s="8" t="n">
        <v>1</v>
      </c>
      <c r="F27" s="7" t="inlineStr">
        <is>
          <t>шт</t>
        </is>
      </c>
      <c r="G27" s="9" t="n">
        <v>3500</v>
      </c>
      <c r="H27" s="9">
        <f>E27*G27</f>
        <v/>
      </c>
      <c r="I27" s="7" t="inlineStr">
        <is>
          <t>R3</t>
        </is>
      </c>
      <c r="J27" s="7" t="inlineStr">
        <is>
          <t>LV11; P-K16</t>
        </is>
      </c>
      <c r="K27" s="7" t="inlineStr">
        <is>
          <t>Ремонт</t>
        </is>
      </c>
      <c r="L27" s="7" t="inlineStr">
        <is>
          <t>Э13</t>
        </is>
      </c>
      <c r="M27" s="7" t="inlineStr"/>
    </row>
    <row r="28">
      <c r="A28" s="7" t="n">
        <v>24</v>
      </c>
      <c r="B28" s="7" t="inlineStr">
        <is>
          <t>Извещатели автономные дымовые ИП 212 ×4 + тепловой ИП 101 (кухня)</t>
        </is>
      </c>
      <c r="C28" s="7" t="inlineStr">
        <is>
          <t>Kidde / Аврора</t>
        </is>
      </c>
      <c r="D28" s="7" t="inlineStr">
        <is>
          <t>—</t>
        </is>
      </c>
      <c r="E28" s="8" t="n">
        <v>1</v>
      </c>
      <c r="F28" s="7" t="inlineStr">
        <is>
          <t>компл</t>
        </is>
      </c>
      <c r="G28" s="9" t="n">
        <v>4500</v>
      </c>
      <c r="H28" s="9">
        <f>E28*G28</f>
        <v/>
      </c>
      <c r="I28" s="7" t="inlineStr">
        <is>
          <t>R1–R4</t>
        </is>
      </c>
      <c r="J28" s="7" t="inlineStr">
        <is>
          <t>LV28</t>
        </is>
      </c>
      <c r="K28" s="7" t="inlineStr">
        <is>
          <t>Ремонт</t>
        </is>
      </c>
      <c r="L28" s="7" t="inlineStr">
        <is>
          <t>Э13</t>
        </is>
      </c>
      <c r="M28" s="7" t="inlineStr"/>
    </row>
    <row r="29">
      <c r="A29" s="7" t="n">
        <v>25</v>
      </c>
      <c r="B29" s="7" t="inlineStr">
        <is>
          <t>Проектор 4K-класса (4K-enhancement), зум с throw ≈ 1,29–1,41, lens shift, ≤ 28 дБ</t>
        </is>
      </c>
      <c r="C29" s="7" t="inlineStr">
        <is>
          <t>Epson EH-TW7100 / BenQ W2710-класс</t>
        </is>
      </c>
      <c r="D29" s="7" t="inlineStr">
        <is>
          <t>Epson / BenQ</t>
        </is>
      </c>
      <c r="E29" s="8" t="n">
        <v>1</v>
      </c>
      <c r="F29" s="7" t="inlineStr">
        <is>
          <t>шт</t>
        </is>
      </c>
      <c r="G29" s="9" t="n">
        <v>130000</v>
      </c>
      <c r="H29" s="9">
        <f>E29*G29</f>
        <v/>
      </c>
      <c r="I29" s="7" t="inlineStr">
        <is>
          <t>R7</t>
        </is>
      </c>
      <c r="J29" s="7" t="inlineStr">
        <is>
          <t>F38; D11; planning.json cinema</t>
        </is>
      </c>
      <c r="K29" s="7" t="inlineStr">
        <is>
          <t>Мебель+техника</t>
        </is>
      </c>
      <c r="L29" s="7" t="inlineStr">
        <is>
          <t>—</t>
        </is>
      </c>
      <c r="M29" s="7" t="inlineStr"/>
    </row>
    <row r="30">
      <c r="A30" s="7" t="n">
        <v>26</v>
      </c>
      <c r="B30" s="7" t="inlineStr">
        <is>
          <t>Кронштейн потолочный проектора (к плите балкона)</t>
        </is>
      </c>
      <c r="C30" s="7" t="inlineStr">
        <is>
          <t>—</t>
        </is>
      </c>
      <c r="D30" s="7" t="inlineStr">
        <is>
          <t>—</t>
        </is>
      </c>
      <c r="E30" s="8" t="n">
        <v>1</v>
      </c>
      <c r="F30" s="7" t="inlineStr">
        <is>
          <t>шт</t>
        </is>
      </c>
      <c r="G30" s="9" t="n">
        <v>5000</v>
      </c>
      <c r="H30" s="9">
        <f>E30*G30</f>
        <v/>
      </c>
      <c r="I30" s="7" t="inlineStr">
        <is>
          <t>R7</t>
        </is>
      </c>
      <c r="J30" s="7" t="inlineStr">
        <is>
          <t>F38</t>
        </is>
      </c>
      <c r="K30" s="7" t="inlineStr">
        <is>
          <t>Мебель+техника</t>
        </is>
      </c>
      <c r="L30" s="7" t="inlineStr">
        <is>
          <t>—</t>
        </is>
      </c>
      <c r="M30" s="7" t="inlineStr"/>
    </row>
    <row r="31">
      <c r="A31" s="7" t="n">
        <v>27</v>
      </c>
      <c r="B31" s="7" t="inlineStr">
        <is>
          <t>Экран моторизованный 80″ 16:9 tab-tension в нишу (полотно 1771×996), 12В-триггер</t>
        </is>
      </c>
      <c r="C31" s="7" t="inlineStr">
        <is>
          <t>Lumien Cinema Tensioned / Elite Screens</t>
        </is>
      </c>
      <c r="D31" s="7" t="inlineStr">
        <is>
          <t>Lumien</t>
        </is>
      </c>
      <c r="E31" s="8" t="n">
        <v>1</v>
      </c>
      <c r="F31" s="7" t="inlineStr">
        <is>
          <t>шт</t>
        </is>
      </c>
      <c r="G31" s="9" t="n">
        <v>60000</v>
      </c>
      <c r="H31" s="9">
        <f>E31*G31</f>
        <v/>
      </c>
      <c r="I31" s="7" t="inlineStr">
        <is>
          <t>R3</t>
        </is>
      </c>
      <c r="J31" s="7" t="inlineStr">
        <is>
          <t>F32; CB-3; узел 9</t>
        </is>
      </c>
      <c r="K31" s="7" t="inlineStr">
        <is>
          <t>Мебель+техника</t>
        </is>
      </c>
      <c r="L31" s="7" t="inlineStr">
        <is>
          <t>—</t>
        </is>
      </c>
      <c r="M31" s="7" t="inlineStr"/>
    </row>
    <row r="32">
      <c r="A32" s="7" t="n">
        <v>28</v>
      </c>
      <c r="B32" s="7" t="inlineStr">
        <is>
          <t>Колонки настенные пассивные (пара L/R)</t>
        </is>
      </c>
      <c r="C32" s="7" t="inlineStr">
        <is>
          <t>Dali / Polk / Wharfedale</t>
        </is>
      </c>
      <c r="D32" s="7" t="inlineStr">
        <is>
          <t>Polk</t>
        </is>
      </c>
      <c r="E32" s="8" t="n">
        <v>1</v>
      </c>
      <c r="F32" s="7" t="inlineStr">
        <is>
          <t>пара</t>
        </is>
      </c>
      <c r="G32" s="9" t="n">
        <v>22000</v>
      </c>
      <c r="H32" s="9">
        <f>E32*G32</f>
        <v/>
      </c>
      <c r="I32" s="7" t="inlineStr">
        <is>
          <t>R7</t>
        </is>
      </c>
      <c r="J32" s="7" t="inlineStr">
        <is>
          <t>F39, F40</t>
        </is>
      </c>
      <c r="K32" s="7" t="inlineStr">
        <is>
          <t>Мебель+техника</t>
        </is>
      </c>
      <c r="L32" s="7" t="inlineStr">
        <is>
          <t>—</t>
        </is>
      </c>
      <c r="M32" s="7" t="inlineStr"/>
    </row>
    <row r="33">
      <c r="A33" s="7" t="n">
        <v>29</v>
      </c>
      <c r="B33" s="7" t="inlineStr">
        <is>
          <t>AV-ресивер 5.1 (с 12В-триггером, eARC)</t>
        </is>
      </c>
      <c r="C33" s="7" t="inlineStr">
        <is>
          <t>Denon / Yamaha</t>
        </is>
      </c>
      <c r="D33" s="7" t="inlineStr">
        <is>
          <t>Denon</t>
        </is>
      </c>
      <c r="E33" s="8" t="n">
        <v>1</v>
      </c>
      <c r="F33" s="7" t="inlineStr">
        <is>
          <t>шт</t>
        </is>
      </c>
      <c r="G33" s="9" t="n">
        <v>32000</v>
      </c>
      <c r="H33" s="9">
        <f>E33*G33</f>
        <v/>
      </c>
      <c r="I33" s="7" t="inlineStr">
        <is>
          <t>R7</t>
        </is>
      </c>
      <c r="J33" s="7" t="inlineStr">
        <is>
          <t>F35 отсек AV; P-B04a</t>
        </is>
      </c>
      <c r="K33" s="7" t="inlineStr">
        <is>
          <t>Мебель+техника</t>
        </is>
      </c>
      <c r="L33" s="7" t="inlineStr">
        <is>
          <t>—</t>
        </is>
      </c>
      <c r="M33" s="7" t="inlineStr"/>
    </row>
    <row r="34">
      <c r="A34" s="7" t="n">
        <v>30</v>
      </c>
      <c r="B34" s="7" t="inlineStr">
        <is>
          <t>Медиаплеер 4K (Android TV / Apple TV)</t>
        </is>
      </c>
      <c r="C34" s="7" t="inlineStr">
        <is>
          <t>Apple TV 4K / Ugoos</t>
        </is>
      </c>
      <c r="D34" s="7" t="inlineStr">
        <is>
          <t>—</t>
        </is>
      </c>
      <c r="E34" s="8" t="n">
        <v>1</v>
      </c>
      <c r="F34" s="7" t="inlineStr">
        <is>
          <t>шт</t>
        </is>
      </c>
      <c r="G34" s="9" t="n">
        <v>15000</v>
      </c>
      <c r="H34" s="9">
        <f>E34*G34</f>
        <v/>
      </c>
      <c r="I34" s="7" t="inlineStr">
        <is>
          <t>R7</t>
        </is>
      </c>
      <c r="J34" s="7" t="inlineStr">
        <is>
          <t>F35; P-B04a</t>
        </is>
      </c>
      <c r="K34" s="7" t="inlineStr">
        <is>
          <t>Мебель+техника</t>
        </is>
      </c>
      <c r="L34" s="7" t="inlineStr">
        <is>
          <t>—</t>
        </is>
      </c>
      <c r="M34" s="7" t="inlineStr"/>
    </row>
    <row r="35">
      <c r="A35" s="7" t="n">
        <v>31</v>
      </c>
      <c r="B35" s="7" t="inlineStr">
        <is>
          <t>Телевизор 65″ 4K + плоский кронштейн</t>
        </is>
      </c>
      <c r="C35" s="7" t="inlineStr">
        <is>
          <t>Samsung / LG / Sony</t>
        </is>
      </c>
      <c r="D35" s="7" t="inlineStr">
        <is>
          <t>—</t>
        </is>
      </c>
      <c r="E35" s="8" t="n">
        <v>1</v>
      </c>
      <c r="F35" s="7" t="inlineStr">
        <is>
          <t>компл</t>
        </is>
      </c>
      <c r="G35" s="9" t="n">
        <v>65000</v>
      </c>
      <c r="H35" s="9">
        <f>E35*G35</f>
        <v/>
      </c>
      <c r="I35" s="7" t="inlineStr">
        <is>
          <t>R1</t>
        </is>
      </c>
      <c r="J35" s="7" t="inlineStr">
        <is>
          <t>F48; D12</t>
        </is>
      </c>
      <c r="K35" s="7" t="inlineStr">
        <is>
          <t>Мебель+техника</t>
        </is>
      </c>
      <c r="L35" s="7" t="inlineStr">
        <is>
          <t>—</t>
        </is>
      </c>
      <c r="M35" s="7" t="inlineStr"/>
    </row>
    <row r="37">
      <c r="B37" s="5" t="inlineStr">
        <is>
          <t>Итого по спецификации</t>
        </is>
      </c>
      <c r="H37" s="10">
        <f>SUM(H5:H35)</f>
        <v/>
      </c>
    </row>
    <row r="38">
      <c r="B38" s="5" t="inlineStr">
        <is>
          <t>в т.ч. «Ремонт»</t>
        </is>
      </c>
      <c r="H38" s="10">
        <f>SUMIF(K5:K35,"Ремонт",H5:H35)</f>
        <v/>
      </c>
    </row>
    <row r="39">
      <c r="B39" s="5" t="inlineStr">
        <is>
          <t>в т.ч. «Мебель+техника»</t>
        </is>
      </c>
      <c r="H39" s="10">
        <f>SUMIF(K5:K35,"Мебель+техника",H5:H35)</f>
        <v/>
      </c>
    </row>
  </sheetData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2026-10-08T17:04:23Z</dcterms:created>
  <dcterms:modified xmlns:dcterms="http://purl.org/dc/terms/" xmlns:xsi="http://www.w3.org/2001/XMLSchema-instance" xsi:type="dcterms:W3CDTF">2026-10-08T17:04:23Z</dcterms:modified>
</cp:coreProperties>
</file>
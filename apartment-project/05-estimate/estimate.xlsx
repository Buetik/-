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Работы" sheetId="2" state="visible" r:id="rId2"/>
    <sheet xmlns:r="http://schemas.openxmlformats.org/officeDocument/2006/relationships" name="Материалы (Ремонт)" sheetId="3" state="visible" r:id="rId3"/>
    <sheet xmlns:r="http://schemas.openxmlformats.org/officeDocument/2006/relationships" name="Мебель и техника" sheetId="4" state="visible" r:id="rId4"/>
    <sheet xmlns:r="http://schemas.openxmlformats.org/officeDocument/2006/relationships" name="Бюджеты" sheetId="5" state="visible" r:id="rId5"/>
    <sheet xmlns:r="http://schemas.openxmlformats.org/officeDocument/2006/relationships" name="Источники и допущени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₽&quot;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DE3E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9" fontId="0" fillId="0" borderId="0" pivotButton="0" quotePrefix="0" xfId="0"/>
    <xf numFmtId="164" fontId="1" fillId="3" borderId="0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8" customWidth="1" min="1" max="1"/>
    <col width="62" customWidth="1" min="2" max="2"/>
    <col width="16" customWidth="1" min="3" max="3"/>
    <col width="20" customWidth="1" min="4" max="4"/>
    <col width="16" customWidth="1" min="5" max="5"/>
    <col width="8" customWidth="1" min="6" max="6"/>
  </cols>
  <sheetData>
    <row r="1">
      <c r="A1" s="1" t="inlineStr">
        <is>
          <t>СМ-01. Смета ориентировочная — кв. 108, СПб, вариант D1 (бюджет «Ремонт»)</t>
        </is>
      </c>
    </row>
    <row r="2" ht="80" customHeight="1">
      <c r="A2" s="2" t="inlineStr">
        <is>
          <t>Цены — ориентировочные для Санкт-Петербурга на 10.2026 (средний сегмент, розница/подрядчики), не являются офертой и подлежат проверке у поставщиков перед закупкой. Материалы — по диапазонам 02-concept/materials.json (price_ref) с поправкой на рост цен 1-го полугодия 2026 (INFOline: плитка +17 %, электрика +15 %, ЛКМ +10 %, напольные +10,5 %); расценки работ — калибровка по открытым прайсам СПб (поиск 2026-10-08, источники в 05-estimate/estimate.md).</t>
        </is>
      </c>
    </row>
    <row r="4">
      <c r="A4" s="3" t="inlineStr">
        <is>
          <t>Шифр</t>
        </is>
      </c>
      <c r="B4" s="3" t="inlineStr">
        <is>
          <t>Этап</t>
        </is>
      </c>
      <c r="C4" s="3" t="inlineStr">
        <is>
          <t>Работы, ₽</t>
        </is>
      </c>
      <c r="D4" s="3" t="inlineStr">
        <is>
          <t>Материалы и изделия, ₽</t>
        </is>
      </c>
      <c r="E4" s="3" t="inlineStr">
        <is>
          <t>Итого, ₽</t>
        </is>
      </c>
      <c r="F4" s="3" t="inlineStr">
        <is>
          <t>Доля</t>
        </is>
      </c>
    </row>
    <row r="5">
      <c r="A5" t="inlineStr">
        <is>
          <t>Э01</t>
        </is>
      </c>
      <c r="B5" t="inlineStr">
        <is>
          <t>Демонтаж и подготовка</t>
        </is>
      </c>
      <c r="C5" s="4">
        <f>SUMIF('Работы'!$A$2:$A$108,A5,'Работы'!$G$2:$G$108)</f>
        <v/>
      </c>
      <c r="D5" s="4">
        <f>SUMIF('Материалы (Ремонт)'!$A$2:$A$275,A5,'Материалы (Ремонт)'!$H$2:$H$275)</f>
        <v/>
      </c>
      <c r="E5" s="4">
        <f>C5+D5</f>
        <v/>
      </c>
      <c r="F5" s="5">
        <f>E5/$E$19</f>
        <v/>
      </c>
    </row>
    <row r="6">
      <c r="A6" t="inlineStr">
        <is>
          <t>Э02</t>
        </is>
      </c>
      <c r="B6" t="inlineStr">
        <is>
          <t>Перегородки, закладки, зашивка окна, каркасные облицовки</t>
        </is>
      </c>
      <c r="C6" s="4">
        <f>SUMIF('Работы'!$A$2:$A$108,A6,'Работы'!$G$2:$G$108)</f>
        <v/>
      </c>
      <c r="D6" s="4">
        <f>SUMIF('Материалы (Ремонт)'!$A$2:$A$275,A6,'Материалы (Ремонт)'!$H$2:$H$275)</f>
        <v/>
      </c>
      <c r="E6" s="4">
        <f>C6+D6</f>
        <v/>
      </c>
      <c r="F6" s="5">
        <f>E6/$E$19</f>
        <v/>
      </c>
    </row>
    <row r="7">
      <c r="A7" t="inlineStr">
        <is>
          <t>Э03</t>
        </is>
      </c>
      <c r="B7" t="inlineStr">
        <is>
          <t>Утепление и остекление балкона</t>
        </is>
      </c>
      <c r="C7" s="4">
        <f>SUMIF('Работы'!$A$2:$A$108,A7,'Работы'!$G$2:$G$108)</f>
        <v/>
      </c>
      <c r="D7" s="4">
        <f>SUMIF('Материалы (Ремонт)'!$A$2:$A$275,A7,'Материалы (Ремонт)'!$H$2:$H$275)</f>
        <v/>
      </c>
      <c r="E7" s="4">
        <f>C7+D7</f>
        <v/>
      </c>
      <c r="F7" s="5">
        <f>E7/$E$19</f>
        <v/>
      </c>
    </row>
    <row r="8">
      <c r="A8" t="inlineStr">
        <is>
          <t>Э04</t>
        </is>
      </c>
      <c r="B8" t="inlineStr">
        <is>
          <t>Электромонтаж (черновой), щит, слаботочка, электро-ТП</t>
        </is>
      </c>
      <c r="C8" s="4">
        <f>SUMIF('Работы'!$A$2:$A$108,A8,'Работы'!$G$2:$G$108)</f>
        <v/>
      </c>
      <c r="D8" s="4">
        <f>SUMIF('Материалы (Ремонт)'!$A$2:$A$275,A8,'Материалы (Ремонт)'!$H$2:$H$275)</f>
        <v/>
      </c>
      <c r="E8" s="4">
        <f>C8+D8</f>
        <v/>
      </c>
      <c r="F8" s="5">
        <f>E8/$E$19</f>
        <v/>
      </c>
    </row>
    <row r="9">
      <c r="A9" t="inlineStr">
        <is>
          <t>Э05</t>
        </is>
      </c>
      <c r="B9" t="inlineStr">
        <is>
          <t>Сантехмонтаж (черновой) и вентиляция</t>
        </is>
      </c>
      <c r="C9" s="4">
        <f>SUMIF('Работы'!$A$2:$A$108,A9,'Работы'!$G$2:$G$108)</f>
        <v/>
      </c>
      <c r="D9" s="4">
        <f>SUMIF('Материалы (Ремонт)'!$A$2:$A$275,A9,'Материалы (Ремонт)'!$H$2:$H$275)</f>
        <v/>
      </c>
      <c r="E9" s="4">
        <f>C9+D9</f>
        <v/>
      </c>
      <c r="F9" s="5">
        <f>E9/$E$19</f>
        <v/>
      </c>
    </row>
    <row r="10">
      <c r="A10" t="inlineStr">
        <is>
          <t>Э06</t>
        </is>
      </c>
      <c r="B10" t="inlineStr">
        <is>
          <t>Подиум ванной, гидроизоляция, стяжка балкона</t>
        </is>
      </c>
      <c r="C10" s="4">
        <f>SUMIF('Работы'!$A$2:$A$108,A10,'Работы'!$G$2:$G$108)</f>
        <v/>
      </c>
      <c r="D10" s="4">
        <f>SUMIF('Материалы (Ремонт)'!$A$2:$A$275,A10,'Материалы (Ремонт)'!$H$2:$H$275)</f>
        <v/>
      </c>
      <c r="E10" s="4">
        <f>C10+D10</f>
        <v/>
      </c>
      <c r="F10" s="5">
        <f>E10/$E$19</f>
        <v/>
      </c>
    </row>
    <row r="11">
      <c r="A11" t="inlineStr">
        <is>
          <t>Э07</t>
        </is>
      </c>
      <c r="B11" t="inlineStr">
        <is>
          <t>Штукатурка и шпаклёвка</t>
        </is>
      </c>
      <c r="C11" s="4">
        <f>SUMIF('Работы'!$A$2:$A$108,A11,'Работы'!$G$2:$G$108)</f>
        <v/>
      </c>
      <c r="D11" s="4">
        <f>SUMIF('Материалы (Ремонт)'!$A$2:$A$275,A11,'Материалы (Ремонт)'!$H$2:$H$275)</f>
        <v/>
      </c>
      <c r="E11" s="4">
        <f>C11+D11</f>
        <v/>
      </c>
      <c r="F11" s="5">
        <f>E11/$E$19</f>
        <v/>
      </c>
    </row>
    <row r="12">
      <c r="A12" t="inlineStr">
        <is>
          <t>Э08</t>
        </is>
      </c>
      <c r="B12" t="inlineStr">
        <is>
          <t>Плиточные работы</t>
        </is>
      </c>
      <c r="C12" s="4">
        <f>SUMIF('Работы'!$A$2:$A$108,A12,'Работы'!$G$2:$G$108)</f>
        <v/>
      </c>
      <c r="D12" s="4">
        <f>SUMIF('Материалы (Ремонт)'!$A$2:$A$275,A12,'Материалы (Ремонт)'!$H$2:$H$275)</f>
        <v/>
      </c>
      <c r="E12" s="4">
        <f>C12+D12</f>
        <v/>
      </c>
      <c r="F12" s="5">
        <f>E12/$E$19</f>
        <v/>
      </c>
    </row>
    <row r="13">
      <c r="A13" t="inlineStr">
        <is>
          <t>Э09</t>
        </is>
      </c>
      <c r="B13" t="inlineStr">
        <is>
          <t>Потолки ГКЛ, короба, ниши</t>
        </is>
      </c>
      <c r="C13" s="4">
        <f>SUMIF('Работы'!$A$2:$A$108,A13,'Работы'!$G$2:$G$108)</f>
        <v/>
      </c>
      <c r="D13" s="4">
        <f>SUMIF('Материалы (Ремонт)'!$A$2:$A$275,A13,'Материалы (Ремонт)'!$H$2:$H$275)</f>
        <v/>
      </c>
      <c r="E13" s="4">
        <f>C13+D13</f>
        <v/>
      </c>
      <c r="F13" s="5">
        <f>E13/$E$19</f>
        <v/>
      </c>
    </row>
    <row r="14">
      <c r="A14" t="inlineStr">
        <is>
          <t>Э10</t>
        </is>
      </c>
      <c r="B14" t="inlineStr">
        <is>
          <t>Покраска, молдинги, карнизы, буазери</t>
        </is>
      </c>
      <c r="C14" s="4">
        <f>SUMIF('Работы'!$A$2:$A$108,A14,'Работы'!$G$2:$G$108)</f>
        <v/>
      </c>
      <c r="D14" s="4">
        <f>SUMIF('Материалы (Ремонт)'!$A$2:$A$275,A14,'Материалы (Ремонт)'!$H$2:$H$275)</f>
        <v/>
      </c>
      <c r="E14" s="4">
        <f>C14+D14</f>
        <v/>
      </c>
      <c r="F14" s="5">
        <f>E14/$E$19</f>
        <v/>
      </c>
    </row>
    <row r="15">
      <c r="A15" t="inlineStr">
        <is>
          <t>Э11</t>
        </is>
      </c>
      <c r="B15" t="inlineStr">
        <is>
          <t>Полы (инженерная доска, LVT)</t>
        </is>
      </c>
      <c r="C15" s="4">
        <f>SUMIF('Работы'!$A$2:$A$108,A15,'Работы'!$G$2:$G$108)</f>
        <v/>
      </c>
      <c r="D15" s="4">
        <f>SUMIF('Материалы (Ремонт)'!$A$2:$A$275,A15,'Материалы (Ремонт)'!$H$2:$H$275)</f>
        <v/>
      </c>
      <c r="E15" s="4">
        <f>C15+D15</f>
        <v/>
      </c>
      <c r="F15" s="5">
        <f>E15/$E$19</f>
        <v/>
      </c>
    </row>
    <row r="16">
      <c r="A16" t="inlineStr">
        <is>
          <t>Э12</t>
        </is>
      </c>
      <c r="B16" t="inlineStr">
        <is>
          <t>Двери</t>
        </is>
      </c>
      <c r="C16" s="4">
        <f>SUMIF('Работы'!$A$2:$A$108,A16,'Работы'!$G$2:$G$108)</f>
        <v/>
      </c>
      <c r="D16" s="4">
        <f>SUMIF('Материалы (Ремонт)'!$A$2:$A$275,A16,'Материалы (Ремонт)'!$H$2:$H$275)</f>
        <v/>
      </c>
      <c r="E16" s="4">
        <f>C16+D16</f>
        <v/>
      </c>
      <c r="F16" s="5">
        <f>E16/$E$19</f>
        <v/>
      </c>
    </row>
    <row r="17">
      <c r="A17" t="inlineStr">
        <is>
          <t>Э13</t>
        </is>
      </c>
      <c r="B17" t="inlineStr">
        <is>
          <t>Чистовой монтаж (электрика, сантехника, свет, мебель, шторы, умный дом)</t>
        </is>
      </c>
      <c r="C17" s="4">
        <f>SUMIF('Работы'!$A$2:$A$108,A17,'Работы'!$G$2:$G$108)</f>
        <v/>
      </c>
      <c r="D17" s="4">
        <f>SUMIF('Материалы (Ремонт)'!$A$2:$A$275,A17,'Материалы (Ремонт)'!$H$2:$H$275)</f>
        <v/>
      </c>
      <c r="E17" s="4">
        <f>C17+D17</f>
        <v/>
      </c>
      <c r="F17" s="5">
        <f>E17/$E$19</f>
        <v/>
      </c>
    </row>
    <row r="18">
      <c r="A18" t="inlineStr">
        <is>
          <t>Э14</t>
        </is>
      </c>
      <c r="B18" t="inlineStr">
        <is>
          <t>Вывоз мусора, логистика, уборка</t>
        </is>
      </c>
      <c r="C18" s="4">
        <f>SUMIF('Работы'!$A$2:$A$108,A18,'Работы'!$G$2:$G$108)</f>
        <v/>
      </c>
      <c r="D18" s="4">
        <f>SUMIF('Материалы (Ремонт)'!$A$2:$A$275,A18,'Материалы (Ремонт)'!$H$2:$H$275)</f>
        <v/>
      </c>
      <c r="E18" s="4">
        <f>C18+D18</f>
        <v/>
      </c>
      <c r="F18" s="5">
        <f>E18/$E$19</f>
        <v/>
      </c>
    </row>
    <row r="19">
      <c r="B19" s="6" t="inlineStr">
        <is>
          <t>Итого без резерва</t>
        </is>
      </c>
      <c r="C19" s="7">
        <f>SUM(C5:C18)</f>
        <v/>
      </c>
      <c r="D19" s="7">
        <f>SUM(D5:D18)</f>
        <v/>
      </c>
      <c r="E19" s="7">
        <f>SUM(E5:E18)</f>
        <v/>
      </c>
    </row>
    <row r="20">
      <c r="B20" t="inlineStr">
        <is>
          <t>Резерв на непредвиденное, %</t>
        </is>
      </c>
      <c r="E20" s="8" t="n">
        <v>0.1</v>
      </c>
    </row>
    <row r="21">
      <c r="B21" t="inlineStr">
        <is>
          <t>Резерв, ₽</t>
        </is>
      </c>
      <c r="E21" s="4">
        <f>E19*E20</f>
        <v/>
      </c>
    </row>
    <row r="22">
      <c r="B22" s="6" t="inlineStr">
        <is>
          <t>ИТОГО «Ремонт» с резервом 10 %</t>
        </is>
      </c>
      <c r="E22" s="9">
        <f>E19+E21</f>
        <v/>
      </c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60" customWidth="1" min="3" max="3"/>
    <col width="8" customWidth="1" min="4" max="4"/>
    <col width="10" customWidth="1" min="5" max="5"/>
    <col width="12" customWidth="1" min="6" max="6"/>
    <col width="14" customWidth="1" min="7" max="7"/>
    <col width="38" customWidth="1" min="8" max="8"/>
    <col width="30" customWidth="1" min="9" max="9"/>
  </cols>
  <sheetData>
    <row r="1">
      <c r="A1" s="3" t="inlineStr">
        <is>
          <t>Этап</t>
        </is>
      </c>
      <c r="B1" s="3" t="inlineStr">
        <is>
          <t>Поз.</t>
        </is>
      </c>
      <c r="C1" s="3" t="inlineStr">
        <is>
          <t>Наименование работ</t>
        </is>
      </c>
      <c r="D1" s="3" t="inlineStr">
        <is>
          <t>Ед.</t>
        </is>
      </c>
      <c r="E1" s="3" t="inlineStr">
        <is>
          <t>Объём</t>
        </is>
      </c>
      <c r="F1" s="3" t="inlineStr">
        <is>
          <t>Расценка, ₽</t>
        </is>
      </c>
      <c r="G1" s="3" t="inlineStr">
        <is>
          <t>Сумма, ₽</t>
        </is>
      </c>
      <c r="H1" s="3" t="inlineStr">
        <is>
          <t>Источник объёма (id / лист)</t>
        </is>
      </c>
      <c r="I1" s="3" t="inlineStr">
        <is>
          <t>Расчёт</t>
        </is>
      </c>
    </row>
    <row r="2">
      <c r="A2" s="10" t="inlineStr">
        <is>
          <t>Э01</t>
        </is>
      </c>
      <c r="B2" s="10" t="inlineStr">
        <is>
          <t>Э01.1</t>
        </is>
      </c>
      <c r="C2" s="10" t="inlineStr">
        <is>
          <t>Тепловизионная съёмка пола при работающем водяном ТП, разметка трасс труб</t>
        </is>
      </c>
      <c r="D2" s="10" t="inlineStr">
        <is>
          <t>компл</t>
        </is>
      </c>
      <c r="E2" s="10" t="n">
        <v>1</v>
      </c>
      <c r="F2" s="11" t="n">
        <v>14000</v>
      </c>
      <c r="G2" s="11">
        <f>E2*F2</f>
        <v/>
      </c>
      <c r="H2" s="10" t="inlineStr">
        <is>
          <t>planning.json new_walls_general; D3; №13</t>
        </is>
      </c>
      <c r="I2" s="10" t="inlineStr"/>
    </row>
    <row r="3">
      <c r="A3" s="10" t="inlineStr">
        <is>
          <t>Э01</t>
        </is>
      </c>
      <c r="B3" s="10" t="inlineStr">
        <is>
          <t>Э01.2</t>
        </is>
      </c>
      <c r="C3" s="10" t="inlineStr">
        <is>
          <t>Укрытие и защита стяжки с водяным ТП на период работ</t>
        </is>
      </c>
      <c r="D3" s="10" t="inlineStr">
        <is>
          <t>м²</t>
        </is>
      </c>
      <c r="E3" s="10" t="n">
        <v>61.7</v>
      </c>
      <c r="F3" s="11" t="n">
        <v>120</v>
      </c>
      <c r="G3" s="11">
        <f>E3*F3</f>
        <v/>
      </c>
      <c r="H3" s="10" t="inlineStr">
        <is>
          <t>planning.json areas.sum_without_balcony</t>
        </is>
      </c>
      <c r="I3" s="10" t="inlineStr"/>
    </row>
    <row r="4">
      <c r="A4" s="10" t="inlineStr">
        <is>
          <t>Э01</t>
        </is>
      </c>
      <c r="B4" s="10" t="inlineStr">
        <is>
          <t>Э01.3</t>
        </is>
      </c>
      <c r="C4" s="10" t="inlineStr">
        <is>
          <t>Демонтаж заполнения балконного проёма O4 (блок, порог), без расширения проёма</t>
        </is>
      </c>
      <c r="D4" s="10" t="inlineStr">
        <is>
          <t>шт</t>
        </is>
      </c>
      <c r="E4" s="10" t="n">
        <v>1</v>
      </c>
      <c r="F4" s="11" t="n">
        <v>9000</v>
      </c>
      <c r="G4" s="11">
        <f>E4*F4</f>
        <v/>
      </c>
      <c r="H4" s="10" t="inlineStr">
        <is>
          <t>O4-fill; D2; АР-05</t>
        </is>
      </c>
      <c r="I4" s="10" t="inlineStr"/>
    </row>
    <row r="5">
      <c r="A5" s="10" t="inlineStr">
        <is>
          <t>Э01</t>
        </is>
      </c>
      <c r="B5" s="10" t="inlineStr">
        <is>
          <t>Э01.4</t>
        </is>
      </c>
      <c r="C5" s="10" t="inlineStr">
        <is>
          <t>Пробивка проёмов в перегородках W12 (D3) и W11 (D4) вручную, без ударного инструмента</t>
        </is>
      </c>
      <c r="D5" s="10" t="inlineStr">
        <is>
          <t>м²</t>
        </is>
      </c>
      <c r="E5" s="10" t="n">
        <v>1.35</v>
      </c>
      <c r="F5" s="11" t="n">
        <v>4500</v>
      </c>
      <c r="G5" s="11">
        <f>E5*F5</f>
        <v/>
      </c>
      <c r="H5" s="10" t="inlineStr">
        <is>
          <t>W12-cut, W11-cut; АР-05</t>
        </is>
      </c>
      <c r="I5" s="10" t="inlineStr">
        <is>
          <t>W12 0.61 + W11 0.74</t>
        </is>
      </c>
    </row>
    <row r="6">
      <c r="A6" s="10" t="inlineStr">
        <is>
          <t>Э01</t>
        </is>
      </c>
      <c r="B6" s="10" t="inlineStr">
        <is>
          <t>Э01.5</t>
        </is>
      </c>
      <c r="C6" s="10" t="inlineStr">
        <is>
          <t>Демонтаж подоконной доски и внутренних откосов O1</t>
        </is>
      </c>
      <c r="D6" s="10" t="inlineStr">
        <is>
          <t>шт</t>
        </is>
      </c>
      <c r="E6" s="10" t="n">
        <v>1</v>
      </c>
      <c r="F6" s="11" t="n">
        <v>2500</v>
      </c>
      <c r="G6" s="11">
        <f>E6*F6</f>
        <v/>
      </c>
      <c r="H6" s="10" t="inlineStr">
        <is>
          <t>O1-infill; АР-05</t>
        </is>
      </c>
      <c r="I6" s="10" t="inlineStr"/>
    </row>
    <row r="7">
      <c r="A7" s="10" t="inlineStr">
        <is>
          <t>Э01</t>
        </is>
      </c>
      <c r="B7" s="10" t="inlineStr">
        <is>
          <t>Э01.6</t>
        </is>
      </c>
      <c r="C7" s="10" t="inlineStr">
        <is>
          <t>Демонтаж приборов застройщика (WC постирочной F1 и пр., если установлены), заглушки</t>
        </is>
      </c>
      <c r="D7" s="10" t="inlineStr">
        <is>
          <t>компл</t>
        </is>
      </c>
      <c r="E7" s="10" t="n">
        <v>1</v>
      </c>
      <c r="F7" s="11" t="n">
        <v>6000</v>
      </c>
      <c r="G7" s="11">
        <f>E7*F7</f>
        <v/>
      </c>
      <c r="H7" s="10" t="inlineStr">
        <is>
          <t>planning demolition F1, F-all</t>
        </is>
      </c>
      <c r="I7" s="10" t="inlineStr"/>
    </row>
    <row r="8">
      <c r="A8" s="10" t="inlineStr">
        <is>
          <t>Э02</t>
        </is>
      </c>
      <c r="B8" s="10" t="inlineStr">
        <is>
          <t>Э02.1</t>
        </is>
      </c>
      <c r="C8" s="10" t="inlineStr">
        <is>
          <t>Кладка ПГП 100 на клей по демпферной ленте (NW1, закладка O9) + ГКЛ на клей со стороны кухни</t>
        </is>
      </c>
      <c r="D8" s="10" t="inlineStr">
        <is>
          <t>м²</t>
        </is>
      </c>
      <c r="E8" s="10" t="n">
        <v>4.87</v>
      </c>
      <c r="F8" s="11" t="n">
        <v>2600</v>
      </c>
      <c r="G8" s="11">
        <f>E8*F8</f>
        <v/>
      </c>
      <c r="H8" s="10" t="inlineStr">
        <is>
          <t>NW1; АР-06</t>
        </is>
      </c>
      <c r="I8" s="10" t="inlineStr"/>
    </row>
    <row r="9">
      <c r="A9" s="10" t="inlineStr">
        <is>
          <t>Э02</t>
        </is>
      </c>
      <c r="B9" s="10" t="inlineStr">
        <is>
          <t>Э02.2</t>
        </is>
      </c>
      <c r="C9" s="10" t="inlineStr">
        <is>
          <t>Кладка ПГП 80 (NW4 за вычетом проёма D2, добор у D1)</t>
        </is>
      </c>
      <c r="D9" s="10" t="inlineStr">
        <is>
          <t>м²</t>
        </is>
      </c>
      <c r="E9" s="10" t="n">
        <v>2.2</v>
      </c>
      <c r="F9" s="11" t="n">
        <v>1700</v>
      </c>
      <c r="G9" s="11">
        <f>E9*F9</f>
        <v/>
      </c>
      <c r="H9" s="10" t="inlineStr">
        <is>
          <t>NW4; elevations R1 W7 добор 199</t>
        </is>
      </c>
      <c r="I9" s="10" t="inlineStr"/>
    </row>
    <row r="10">
      <c r="A10" s="10" t="inlineStr">
        <is>
          <t>Э02</t>
        </is>
      </c>
      <c r="B10" s="10" t="inlineStr">
        <is>
          <t>Э02.3</t>
        </is>
      </c>
      <c r="C10" s="10" t="inlineStr">
        <is>
          <t>Кладка ПГП-Г 80 (закладки NW8, NW9) с обмазочной ГИ со стороны с/у</t>
        </is>
      </c>
      <c r="D10" s="10" t="inlineStr">
        <is>
          <t>м²</t>
        </is>
      </c>
      <c r="E10" s="10" t="n">
        <v>2.14</v>
      </c>
      <c r="F10" s="11" t="n">
        <v>1900</v>
      </c>
      <c r="G10" s="11">
        <f>E10*F10</f>
        <v/>
      </c>
      <c r="H10" s="10" t="inlineStr">
        <is>
          <t>NW8, NW9</t>
        </is>
      </c>
      <c r="I10" s="10" t="inlineStr"/>
    </row>
    <row r="11">
      <c r="A11" s="10" t="inlineStr">
        <is>
          <t>Э02</t>
        </is>
      </c>
      <c r="B11" s="10" t="inlineStr">
        <is>
          <t>Э02.4</t>
        </is>
      </c>
      <c r="C11" s="10" t="inlineStr">
        <is>
          <t>Устройство перемычек над новыми проёмами D3, D4</t>
        </is>
      </c>
      <c r="D11" s="10" t="inlineStr">
        <is>
          <t>шт</t>
        </is>
      </c>
      <c r="E11" s="10" t="n">
        <v>2</v>
      </c>
      <c r="F11" s="11" t="n">
        <v>2000</v>
      </c>
      <c r="G11" s="11">
        <f>E11*F11</f>
        <v/>
      </c>
      <c r="H11" s="10" t="inlineStr">
        <is>
          <t>W12-cut, W11-cut</t>
        </is>
      </c>
      <c r="I11" s="10" t="inlineStr"/>
    </row>
    <row r="12">
      <c r="A12" s="10" t="inlineStr">
        <is>
          <t>Э02</t>
        </is>
      </c>
      <c r="B12" s="10" t="inlineStr">
        <is>
          <t>Э02.5</t>
        </is>
      </c>
      <c r="C12" s="10" t="inlineStr">
        <is>
          <t>Зашивка окна O1 изнутри: каркас в откосе, минвата, пароизоляция, 2×ГКЛ (съёмная зона под буазери)</t>
        </is>
      </c>
      <c r="D12" s="10" t="inlineStr">
        <is>
          <t>м²</t>
        </is>
      </c>
      <c r="E12" s="10" t="n">
        <v>2.98</v>
      </c>
      <c r="F12" s="11" t="n">
        <v>5000</v>
      </c>
      <c r="G12" s="11">
        <f>E12*F12</f>
        <v/>
      </c>
      <c r="H12" s="10" t="inlineStr">
        <is>
          <t>window_infill O1; узел 8</t>
        </is>
      </c>
      <c r="I12" s="10" t="inlineStr"/>
    </row>
    <row r="13">
      <c r="A13" s="10" t="inlineStr">
        <is>
          <t>Э02</t>
        </is>
      </c>
      <c r="B13" s="10" t="inlineStr">
        <is>
          <t>Э02.6</t>
        </is>
      </c>
      <c r="C13" s="10" t="inlineStr">
        <is>
          <t>Облицовка W7 ГКЛ 12,5 на профиле (без штроб в ж/б, D15, D23)</t>
        </is>
      </c>
      <c r="D13" s="10" t="inlineStr">
        <is>
          <t>м²</t>
        </is>
      </c>
      <c r="E13" s="10" t="n">
        <v>11.05</v>
      </c>
      <c r="F13" s="11" t="n">
        <v>1100</v>
      </c>
      <c r="G13" s="11">
        <f>E13*F13</f>
        <v/>
      </c>
      <c r="H13" s="10" t="inlineStr">
        <is>
          <t>walls R1 gkl_cladding; АР-15</t>
        </is>
      </c>
      <c r="I13" s="10" t="inlineStr"/>
    </row>
    <row r="14">
      <c r="A14" s="10" t="inlineStr">
        <is>
          <t>Э02</t>
        </is>
      </c>
      <c r="B14" s="10" t="inlineStr">
        <is>
          <t>Э02.7</t>
        </is>
      </c>
      <c r="C14" s="10" t="inlineStr">
        <is>
          <t>Облицовка W14 в душе VK-C1: каркас + 2×ГВЛВ, к стене и потолку (без крепления в пол), ниши 2 шт</t>
        </is>
      </c>
      <c r="D14" s="10" t="inlineStr">
        <is>
          <t>м²</t>
        </is>
      </c>
      <c r="E14" s="10" t="n">
        <v>2.29</v>
      </c>
      <c r="F14" s="11" t="n">
        <v>3500</v>
      </c>
      <c r="G14" s="11">
        <f>E14*F14</f>
        <v/>
      </c>
      <c r="H14" s="10" t="inlineStr">
        <is>
          <t>VK-C1; узел 11</t>
        </is>
      </c>
      <c r="I14" s="10" t="inlineStr"/>
    </row>
    <row r="15">
      <c r="A15" s="10" t="inlineStr">
        <is>
          <t>Э02</t>
        </is>
      </c>
      <c r="B15" s="10" t="inlineStr">
        <is>
          <t>Э02.8</t>
        </is>
      </c>
      <c r="C15" s="10" t="inlineStr">
        <is>
          <t>Короб инсталляции с полкой h 1200 (2×ГВЛВ)</t>
        </is>
      </c>
      <c r="D15" s="10" t="inlineStr">
        <is>
          <t>шт</t>
        </is>
      </c>
      <c r="E15" s="10" t="n">
        <v>1</v>
      </c>
      <c r="F15" s="11" t="n">
        <v>6500</v>
      </c>
      <c r="G15" s="11">
        <f>E15*F15</f>
        <v/>
      </c>
      <c r="H15" s="10" t="inlineStr">
        <is>
          <t>F69; АР-13</t>
        </is>
      </c>
      <c r="I15" s="10" t="inlineStr"/>
    </row>
    <row r="16">
      <c r="A16" s="10" t="inlineStr">
        <is>
          <t>Э02</t>
        </is>
      </c>
      <c r="B16" s="10" t="inlineStr">
        <is>
          <t>Э02.9</t>
        </is>
      </c>
      <c r="C16" s="10" t="inlineStr">
        <is>
          <t>Короб-перемычка VK-C2 h 450 и экран ванны на каркасе с ревизией H6</t>
        </is>
      </c>
      <c r="D16" s="10" t="inlineStr">
        <is>
          <t>м²</t>
        </is>
      </c>
      <c r="E16" s="10" t="n">
        <v>1.68</v>
      </c>
      <c r="F16" s="11" t="n">
        <v>3000</v>
      </c>
      <c r="G16" s="11">
        <f>E16*F16</f>
        <v/>
      </c>
      <c r="H16" s="10" t="inlineStr">
        <is>
          <t>VK-C2; экран ванны; H6</t>
        </is>
      </c>
      <c r="I16" s="10" t="inlineStr"/>
    </row>
    <row r="17">
      <c r="A17" s="10" t="inlineStr">
        <is>
          <t>Э02</t>
        </is>
      </c>
      <c r="B17" s="10" t="inlineStr">
        <is>
          <t>Э02.10</t>
        </is>
      </c>
      <c r="C17" s="10" t="inlineStr">
        <is>
          <t>Закладные под люстры, подвесы, проектор, ДСК, сушилку, карниз с приводом</t>
        </is>
      </c>
      <c r="D17" s="10" t="inlineStr">
        <is>
          <t>шт</t>
        </is>
      </c>
      <c r="E17" s="10" t="n">
        <v>7</v>
      </c>
      <c r="F17" s="11" t="n">
        <v>1500</v>
      </c>
      <c r="G17" s="11">
        <f>E17*F17</f>
        <v/>
      </c>
      <c r="H17" s="10" t="inlineStr">
        <is>
          <t>finish-quantities counts</t>
        </is>
      </c>
      <c r="I17" s="10" t="inlineStr"/>
    </row>
    <row r="18">
      <c r="A18" s="10" t="inlineStr">
        <is>
          <t>Э03</t>
        </is>
      </c>
      <c r="B18" s="10" t="inlineStr">
        <is>
          <t>Э03.1</t>
        </is>
      </c>
      <c r="C18" s="10" t="inlineStr">
        <is>
          <t>Демонтаж существующего остекления балкона застройщика (если есть) [ДОПУЩЕНИЕ, №7]</t>
        </is>
      </c>
      <c r="D18" s="10" t="inlineStr">
        <is>
          <t>компл</t>
        </is>
      </c>
      <c r="E18" s="10" t="n">
        <v>1</v>
      </c>
      <c r="F18" s="11" t="n">
        <v>10000</v>
      </c>
      <c r="G18" s="11">
        <f>E18*F18</f>
        <v/>
      </c>
      <c r="H18" s="10" t="inlineStr">
        <is>
          <t>№7</t>
        </is>
      </c>
      <c r="I18" s="10" t="inlineStr"/>
    </row>
    <row r="19">
      <c r="A19" s="10" t="inlineStr">
        <is>
          <t>Э03</t>
        </is>
      </c>
      <c r="B19" s="10" t="inlineStr">
        <is>
          <t>Э03.2</t>
        </is>
      </c>
      <c r="C19" s="10" t="inlineStr">
        <is>
          <t>Монтаж тёплого остекления ПВХ (с отливами, подоконником, откосами, клапанами SV1/SV2)</t>
        </is>
      </c>
      <c r="D19" s="10" t="inlineStr">
        <is>
          <t>м²</t>
        </is>
      </c>
      <c r="E19" s="10" t="n">
        <v>10.5</v>
      </c>
      <c r="F19" s="11" t="n">
        <v>4800</v>
      </c>
      <c r="G19" s="11">
        <f>E19*F19</f>
        <v/>
      </c>
      <c r="H19" s="10" t="inlineStr">
        <is>
          <t>M32; balcony_heat_balance; SV1, SV2</t>
        </is>
      </c>
      <c r="I19" s="10" t="inlineStr"/>
    </row>
    <row r="20">
      <c r="A20" s="10" t="inlineStr">
        <is>
          <t>Э03</t>
        </is>
      </c>
      <c r="B20" s="10" t="inlineStr">
        <is>
          <t>Э03.3</t>
        </is>
      </c>
      <c r="C20" s="10" t="inlineStr">
        <is>
          <t>Утепление парапетов: каркас, PIR 50, примыкания, обшивка ГВЛ</t>
        </is>
      </c>
      <c r="D20" s="10" t="inlineStr">
        <is>
          <t>м²</t>
        </is>
      </c>
      <c r="E20" s="10" t="n">
        <v>7.05</v>
      </c>
      <c r="F20" s="11" t="n">
        <v>2400</v>
      </c>
      <c r="G20" s="11">
        <f>E20*F20</f>
        <v/>
      </c>
      <c r="H20" s="10" t="inlineStr">
        <is>
          <t>walls R7 gvl+paint_c6; M29</t>
        </is>
      </c>
      <c r="I20" s="10" t="inlineStr"/>
    </row>
    <row r="21">
      <c r="A21" s="10" t="inlineStr">
        <is>
          <t>Э03</t>
        </is>
      </c>
      <c r="B21" s="10" t="inlineStr">
        <is>
          <t>Э03.4</t>
        </is>
      </c>
      <c r="C21" s="10" t="inlineStr">
        <is>
          <t>Утепление потолка балкона PIR 50 (под ГКЛВ)</t>
        </is>
      </c>
      <c r="D21" s="10" t="inlineStr">
        <is>
          <t>м²</t>
        </is>
      </c>
      <c r="E21" s="10" t="n">
        <v>6.08</v>
      </c>
      <c r="F21" s="11" t="n">
        <v>1000</v>
      </c>
      <c r="G21" s="11">
        <f>E21*F21</f>
        <v/>
      </c>
      <c r="H21" s="10" t="inlineStr">
        <is>
          <t>ceilings R7; M30</t>
        </is>
      </c>
      <c r="I21" s="10" t="inlineStr"/>
    </row>
    <row r="22">
      <c r="A22" s="10" t="inlineStr">
        <is>
          <t>Э04</t>
        </is>
      </c>
      <c r="B22" s="10" t="inlineStr">
        <is>
          <t>Э04.1</t>
        </is>
      </c>
      <c r="C22" s="10" t="inlineStr">
        <is>
          <t>Монтаж квартирного щита ЩРН-48</t>
        </is>
      </c>
      <c r="D22" s="10" t="inlineStr">
        <is>
          <t>шт</t>
        </is>
      </c>
      <c r="E22" s="10" t="n">
        <v>1</v>
      </c>
      <c r="F22" s="11" t="n">
        <v>5000</v>
      </c>
      <c r="G22" s="11">
        <f>E22*F22</f>
        <v/>
      </c>
      <c r="H22" s="10" t="inlineStr">
        <is>
          <t>U15; ЭМ-03</t>
        </is>
      </c>
      <c r="I22" s="10" t="inlineStr"/>
    </row>
    <row r="23">
      <c r="A23" s="10" t="inlineStr">
        <is>
          <t>Э04</t>
        </is>
      </c>
      <c r="B23" s="10" t="inlineStr">
        <is>
          <t>Э04.2</t>
        </is>
      </c>
      <c r="C23" s="10" t="inlineStr">
        <is>
          <t>Сборка щита: установка и расключение модульных аппаратов, маркировка</t>
        </is>
      </c>
      <c r="D23" s="10" t="inlineStr">
        <is>
          <t>модуль</t>
        </is>
      </c>
      <c r="E23" s="10" t="n">
        <v>32</v>
      </c>
      <c r="F23" s="11" t="n">
        <v>1000</v>
      </c>
      <c r="G23" s="11">
        <f>E23*F23</f>
        <v/>
      </c>
      <c r="H23" s="10" t="inlineStr">
        <is>
          <t>panel.json modules_used</t>
        </is>
      </c>
      <c r="I23" s="10" t="inlineStr"/>
    </row>
    <row r="24">
      <c r="A24" s="10" t="inlineStr">
        <is>
          <t>Э04</t>
        </is>
      </c>
      <c r="B24" s="10" t="inlineStr">
        <is>
          <t>Э04.3</t>
        </is>
      </c>
      <c r="C24" s="10" t="inlineStr">
        <is>
          <t>Прокладка силового кабеля в гофре по потолку (с креплением)</t>
        </is>
      </c>
      <c r="D24" s="10" t="inlineStr">
        <is>
          <t>м</t>
        </is>
      </c>
      <c r="E24" s="10" t="n">
        <v>681.49</v>
      </c>
      <c r="F24" s="11" t="n">
        <v>110</v>
      </c>
      <c r="G24" s="11">
        <f>E24*F24</f>
        <v/>
      </c>
      <c r="H24" s="10" t="inlineStr">
        <is>
          <t>panel.json Σ length_m × 1,15</t>
        </is>
      </c>
      <c r="I24" s="10" t="inlineStr">
        <is>
          <t>592.6 × 1,15</t>
        </is>
      </c>
    </row>
    <row r="25">
      <c r="A25" s="10" t="inlineStr">
        <is>
          <t>Э04</t>
        </is>
      </c>
      <c r="B25" s="10" t="inlineStr">
        <is>
          <t>Э04.4</t>
        </is>
      </c>
      <c r="C25" s="10" t="inlineStr">
        <is>
          <t>Прокладка слаботочных кабелей (Cat6, RG-6, акустика, датчики, краны, AV)</t>
        </is>
      </c>
      <c r="D25" s="10" t="inlineStr">
        <is>
          <t>м</t>
        </is>
      </c>
      <c r="E25" s="10" t="n">
        <v>186.02</v>
      </c>
      <c r="F25" s="11" t="n">
        <v>110</v>
      </c>
      <c r="G25" s="11">
        <f>E25*F25</f>
        <v/>
      </c>
      <c r="H25" s="10" t="inlineStr">
        <is>
          <t>electrical.json low_voltage (трассы по координатам)</t>
        </is>
      </c>
      <c r="I25" s="10" t="inlineStr"/>
    </row>
    <row r="26">
      <c r="A26" s="10" t="inlineStr">
        <is>
          <t>Э04</t>
        </is>
      </c>
      <c r="B26" s="10" t="inlineStr">
        <is>
          <t>Э04.5</t>
        </is>
      </c>
      <c r="C26" s="10" t="inlineStr">
        <is>
          <t>Штробление вертикальное ≤ 25 мм (кирпич) с заделкой / спуски в облицовках</t>
        </is>
      </c>
      <c r="D26" s="10" t="inlineStr">
        <is>
          <t>м</t>
        </is>
      </c>
      <c r="E26" s="10" t="n">
        <v>119.83</v>
      </c>
      <c r="F26" s="11" t="n">
        <v>600</v>
      </c>
      <c r="G26" s="11">
        <f>E26*F26</f>
        <v/>
      </c>
      <c r="H26" s="10" t="inlineStr">
        <is>
          <t>sockets + switches: (потолок − h)</t>
        </is>
      </c>
      <c r="I26" s="10" t="inlineStr">
        <is>
          <t>Σ спусков к точкам</t>
        </is>
      </c>
    </row>
    <row r="27">
      <c r="A27" s="10" t="inlineStr">
        <is>
          <t>Э04</t>
        </is>
      </c>
      <c r="B27" s="10" t="inlineStr">
        <is>
          <t>Э04.6</t>
        </is>
      </c>
      <c r="C27" s="10" t="inlineStr">
        <is>
          <t>Установка подрозетника (высверливание в кирпиче/ГКЛ), монтаж точки</t>
        </is>
      </c>
      <c r="D27" s="10" t="inlineStr">
        <is>
          <t>шт</t>
        </is>
      </c>
      <c r="E27" s="10" t="n">
        <v>87</v>
      </c>
      <c r="F27" s="11" t="n">
        <v>550</v>
      </c>
      <c r="G27" s="11">
        <f>E27*F27</f>
        <v/>
      </c>
      <c r="H27" s="10" t="inlineStr">
        <is>
          <t>посты sockets + switches</t>
        </is>
      </c>
      <c r="I27" s="10" t="inlineStr"/>
    </row>
    <row r="28">
      <c r="A28" s="10" t="inlineStr">
        <is>
          <t>Э04</t>
        </is>
      </c>
      <c r="B28" s="10" t="inlineStr">
        <is>
          <t>Э04.7</t>
        </is>
      </c>
      <c r="C28" s="10" t="inlineStr">
        <is>
          <t>Вывод под светильник / ленту (кабель, коробка, маркировка)</t>
        </is>
      </c>
      <c r="D28" s="10" t="inlineStr">
        <is>
          <t>шт</t>
        </is>
      </c>
      <c r="E28" s="10" t="n">
        <v>42</v>
      </c>
      <c r="F28" s="11" t="n">
        <v>450</v>
      </c>
      <c r="G28" s="11">
        <f>E28*F28</f>
        <v/>
      </c>
      <c r="H28" s="10" t="inlineStr">
        <is>
          <t>electrical.json lights</t>
        </is>
      </c>
      <c r="I28" s="10" t="inlineStr"/>
    </row>
    <row r="29">
      <c r="A29" s="10" t="inlineStr">
        <is>
          <t>Э04</t>
        </is>
      </c>
      <c r="B29" s="10" t="inlineStr">
        <is>
          <t>Э04.8</t>
        </is>
      </c>
      <c r="C29" s="10" t="inlineStr">
        <is>
          <t>Укладка нагревательных матов в клей с датчиком пола (TP1–TP3)</t>
        </is>
      </c>
      <c r="D29" s="10" t="inlineStr">
        <is>
          <t>м²</t>
        </is>
      </c>
      <c r="E29" s="10" t="n">
        <v>5.27</v>
      </c>
      <c r="F29" s="11" t="n">
        <v>1300</v>
      </c>
      <c r="G29" s="11">
        <f>E29*F29</f>
        <v/>
      </c>
      <c r="H29" s="10" t="inlineStr">
        <is>
          <t>heating.json; ОВ-01</t>
        </is>
      </c>
      <c r="I29" s="10" t="inlineStr"/>
    </row>
    <row r="30">
      <c r="A30" s="10" t="inlineStr">
        <is>
          <t>Э04</t>
        </is>
      </c>
      <c r="B30" s="10" t="inlineStr">
        <is>
          <t>Э04.9</t>
        </is>
      </c>
      <c r="C30" s="10" t="inlineStr">
        <is>
          <t>ДУП ванной и постирочной (КУП, ПуГВ 4 мм²)</t>
        </is>
      </c>
      <c r="D30" s="10" t="inlineStr">
        <is>
          <t>шт</t>
        </is>
      </c>
      <c r="E30" s="10" t="n">
        <v>2</v>
      </c>
      <c r="F30" s="11" t="n">
        <v>3500</v>
      </c>
      <c r="G30" s="11">
        <f>E30*F30</f>
        <v/>
      </c>
      <c r="H30" s="10" t="inlineStr">
        <is>
          <t>panel.json rcd_policy</t>
        </is>
      </c>
      <c r="I30" s="10" t="inlineStr"/>
    </row>
    <row r="31">
      <c r="A31" s="10" t="inlineStr">
        <is>
          <t>Э04</t>
        </is>
      </c>
      <c r="B31" s="10" t="inlineStr">
        <is>
          <t>Э04.10</t>
        </is>
      </c>
      <c r="C31" s="10" t="inlineStr">
        <is>
          <t>Монтаж СС-щита U16, расшивка патч-панели, тестирование линий</t>
        </is>
      </c>
      <c r="D31" s="10" t="inlineStr">
        <is>
          <t>компл</t>
        </is>
      </c>
      <c r="E31" s="10" t="n">
        <v>1</v>
      </c>
      <c r="F31" s="11" t="n">
        <v>9000</v>
      </c>
      <c r="G31" s="11">
        <f>E31*F31</f>
        <v/>
      </c>
      <c r="H31" s="10" t="inlineStr">
        <is>
          <t>U16; LV00</t>
        </is>
      </c>
      <c r="I31" s="10" t="inlineStr"/>
    </row>
    <row r="32">
      <c r="A32" s="10" t="inlineStr">
        <is>
          <t>Э04</t>
        </is>
      </c>
      <c r="B32" s="10" t="inlineStr">
        <is>
          <t>Э04.11</t>
        </is>
      </c>
      <c r="C32" s="10" t="inlineStr">
        <is>
          <t>Электролаборатория: измерения, протокол</t>
        </is>
      </c>
      <c r="D32" s="10" t="inlineStr">
        <is>
          <t>компл</t>
        </is>
      </c>
      <c r="E32" s="10" t="n">
        <v>1</v>
      </c>
      <c r="F32" s="11" t="n">
        <v>15000</v>
      </c>
      <c r="G32" s="11">
        <f>E32*F32</f>
        <v/>
      </c>
      <c r="H32" s="10" t="inlineStr">
        <is>
          <t>ЭМ-03</t>
        </is>
      </c>
      <c r="I32" s="10" t="inlineStr"/>
    </row>
    <row r="33">
      <c r="A33" s="10" t="inlineStr">
        <is>
          <t>Э05</t>
        </is>
      </c>
      <c r="B33" s="10" t="inlineStr">
        <is>
          <t>Э05.1</t>
        </is>
      </c>
      <c r="C33" s="10" t="inlineStr">
        <is>
          <t>Сборка узла ввода (краны, фильтр-редуктор, счётчики, обр. клапан, электрокраны, коллекторы)</t>
        </is>
      </c>
      <c r="D33" s="10" t="inlineStr">
        <is>
          <t>узел</t>
        </is>
      </c>
      <c r="E33" s="10" t="n">
        <v>2</v>
      </c>
      <c r="F33" s="11" t="n">
        <v>16000</v>
      </c>
      <c r="G33" s="11">
        <f>E33*F33</f>
        <v/>
      </c>
      <c r="H33" s="10" t="inlineStr">
        <is>
          <t>N1, N2; ВК-03</t>
        </is>
      </c>
      <c r="I33" s="10" t="inlineStr"/>
    </row>
    <row r="34">
      <c r="A34" s="10" t="inlineStr">
        <is>
          <t>Э05</t>
        </is>
      </c>
      <c r="B34" s="10" t="inlineStr">
        <is>
          <t>Э05.2</t>
        </is>
      </c>
      <c r="C34" s="10" t="inlineStr">
        <is>
          <t>Разводка водоснабжения PEX-a до водорозетки (трасса + вывод)</t>
        </is>
      </c>
      <c r="D34" s="10" t="inlineStr">
        <is>
          <t>вывод</t>
        </is>
      </c>
      <c r="E34" s="10" t="n">
        <v>12</v>
      </c>
      <c r="F34" s="11" t="n">
        <v>3200</v>
      </c>
      <c r="G34" s="11">
        <f>E34*F34</f>
        <v/>
      </c>
      <c r="H34" s="10" t="inlineStr">
        <is>
          <t>pipes.water WB1–WL2</t>
        </is>
      </c>
      <c r="I34" s="10" t="inlineStr"/>
    </row>
    <row r="35">
      <c r="A35" s="10" t="inlineStr">
        <is>
          <t>Э05</t>
        </is>
      </c>
      <c r="B35" s="10" t="inlineStr">
        <is>
          <t>Э05.3</t>
        </is>
      </c>
      <c r="C35" s="10" t="inlineStr">
        <is>
          <t>Разводка канализации ПП к прибору с уклоном (трасса + вывод)</t>
        </is>
      </c>
      <c r="D35" s="10" t="inlineStr">
        <is>
          <t>вывод</t>
        </is>
      </c>
      <c r="E35" s="10" t="n">
        <v>7</v>
      </c>
      <c r="F35" s="11" t="n">
        <v>2900</v>
      </c>
      <c r="G35" s="11">
        <f>E35*F35</f>
        <v/>
      </c>
      <c r="H35" s="10" t="inlineStr">
        <is>
          <t>pipes.sewer S1–S7; calc_sewer_slopes.py</t>
        </is>
      </c>
      <c r="I35" s="10" t="inlineStr"/>
    </row>
    <row r="36">
      <c r="A36" s="10" t="inlineStr">
        <is>
          <t>Э05</t>
        </is>
      </c>
      <c r="B36" s="10" t="inlineStr">
        <is>
          <t>Э05.4</t>
        </is>
      </c>
      <c r="C36" s="10" t="inlineStr">
        <is>
          <t>Монтаж инсталляции (рама к стене, D3)</t>
        </is>
      </c>
      <c r="D36" s="10" t="inlineStr">
        <is>
          <t>шт</t>
        </is>
      </c>
      <c r="E36" s="10" t="n">
        <v>1</v>
      </c>
      <c r="F36" s="11" t="n">
        <v>7000</v>
      </c>
      <c r="G36" s="11">
        <f>E36*F36</f>
        <v/>
      </c>
      <c r="H36" s="10" t="inlineStr">
        <is>
          <t>F69; P01</t>
        </is>
      </c>
      <c r="I36" s="10" t="inlineStr"/>
    </row>
    <row r="37">
      <c r="A37" s="10" t="inlineStr">
        <is>
          <t>Э05</t>
        </is>
      </c>
      <c r="B37" s="10" t="inlineStr">
        <is>
          <t>Э05.5</t>
        </is>
      </c>
      <c r="C37" s="10" t="inlineStr">
        <is>
          <t>Монтаж линейного трапа низкого (h ≤ 70) с фланцем</t>
        </is>
      </c>
      <c r="D37" s="10" t="inlineStr">
        <is>
          <t>шт</t>
        </is>
      </c>
      <c r="E37" s="10" t="n">
        <v>1</v>
      </c>
      <c r="F37" s="11" t="n">
        <v>7500</v>
      </c>
      <c r="G37" s="11">
        <f>E37*F37</f>
        <v/>
      </c>
      <c r="H37" s="10" t="inlineStr">
        <is>
          <t>F67; S1; узел 7</t>
        </is>
      </c>
      <c r="I37" s="10" t="inlineStr"/>
    </row>
    <row r="38">
      <c r="A38" s="10" t="inlineStr">
        <is>
          <t>Э05</t>
        </is>
      </c>
      <c r="B38" s="10" t="inlineStr">
        <is>
          <t>Э05.6</t>
        </is>
      </c>
      <c r="C38" s="10" t="inlineStr">
        <is>
          <t>Монтаж скрытой части термостата душа в облицовке VK-C1</t>
        </is>
      </c>
      <c r="D38" s="10" t="inlineStr">
        <is>
          <t>шт</t>
        </is>
      </c>
      <c r="E38" s="10" t="n">
        <v>1</v>
      </c>
      <c r="F38" s="11" t="n">
        <v>6000</v>
      </c>
      <c r="G38" s="11">
        <f>E38*F38</f>
        <v/>
      </c>
      <c r="H38" s="10" t="inlineStr">
        <is>
          <t>P04; WB3</t>
        </is>
      </c>
      <c r="I38" s="10" t="inlineStr"/>
    </row>
    <row r="39">
      <c r="A39" s="10" t="inlineStr">
        <is>
          <t>Э05</t>
        </is>
      </c>
      <c r="B39" s="10" t="inlineStr">
        <is>
          <t>Э05.7</t>
        </is>
      </c>
      <c r="C39" s="10" t="inlineStr">
        <is>
          <t>Заглушка выпуска WC постирочной, переход 110/50, заглушка подводки</t>
        </is>
      </c>
      <c r="D39" s="10" t="inlineStr">
        <is>
          <t>компл</t>
        </is>
      </c>
      <c r="E39" s="10" t="n">
        <v>1</v>
      </c>
      <c r="F39" s="11" t="n">
        <v>3000</v>
      </c>
      <c r="G39" s="11">
        <f>E39*F39</f>
        <v/>
      </c>
      <c r="H39" s="10" t="inlineStr">
        <is>
          <t>P12; D7</t>
        </is>
      </c>
      <c r="I39" s="10" t="inlineStr"/>
    </row>
    <row r="40">
      <c r="A40" s="10" t="inlineStr">
        <is>
          <t>Э05</t>
        </is>
      </c>
      <c r="B40" s="10" t="inlineStr">
        <is>
          <t>Э05.8</t>
        </is>
      </c>
      <c r="C40" s="10" t="inlineStr">
        <is>
          <t>Гидростатическое испытание водопровода, акт скрытых работ</t>
        </is>
      </c>
      <c r="D40" s="10" t="inlineStr">
        <is>
          <t>компл</t>
        </is>
      </c>
      <c r="E40" s="10" t="n">
        <v>1</v>
      </c>
      <c r="F40" s="11" t="n">
        <v>5000</v>
      </c>
      <c r="G40" s="11">
        <f>E40*F40</f>
        <v/>
      </c>
      <c r="H40" s="10" t="inlineStr">
        <is>
          <t>plumbing.json tests</t>
        </is>
      </c>
      <c r="I40" s="10" t="inlineStr"/>
    </row>
    <row r="41">
      <c r="A41" s="10" t="inlineStr">
        <is>
          <t>Э05</t>
        </is>
      </c>
      <c r="B41" s="10" t="inlineStr">
        <is>
          <t>Э05.9</t>
        </is>
      </c>
      <c r="C41" s="10" t="inlineStr">
        <is>
          <t>Монтаж воздуховода вытяжки кухни Ø125 в коробах, подключение к U13</t>
        </is>
      </c>
      <c r="D41" s="10" t="inlineStr">
        <is>
          <t>м</t>
        </is>
      </c>
      <c r="E41" s="10" t="n">
        <v>4.05</v>
      </c>
      <c r="F41" s="11" t="n">
        <v>1100</v>
      </c>
      <c r="G41" s="11">
        <f>E41*F41</f>
        <v/>
      </c>
      <c r="H41" s="10" t="inlineStr">
        <is>
          <t>KH1; ОВ-02</t>
        </is>
      </c>
      <c r="I41" s="10" t="inlineStr"/>
    </row>
    <row r="42">
      <c r="A42" s="10" t="inlineStr">
        <is>
          <t>Э05</t>
        </is>
      </c>
      <c r="B42" s="10" t="inlineStr">
        <is>
          <t>Э05.10</t>
        </is>
      </c>
      <c r="C42" s="10" t="inlineStr">
        <is>
          <t>Монтаж воздуховодов и врезка вентиляторов в каналы U25/U26</t>
        </is>
      </c>
      <c r="D42" s="10" t="inlineStr">
        <is>
          <t>шт</t>
        </is>
      </c>
      <c r="E42" s="10" t="n">
        <v>2</v>
      </c>
      <c r="F42" s="11" t="n">
        <v>3500</v>
      </c>
      <c r="G42" s="11">
        <f>E42*F42</f>
        <v/>
      </c>
      <c r="H42" s="10" t="inlineStr">
        <is>
          <t>EF1, EF2</t>
        </is>
      </c>
      <c r="I42" s="10" t="inlineStr"/>
    </row>
    <row r="43">
      <c r="A43" s="10" t="inlineStr">
        <is>
          <t>Э05</t>
        </is>
      </c>
      <c r="B43" s="10" t="inlineStr">
        <is>
          <t>Э05.11</t>
        </is>
      </c>
      <c r="C43" s="10" t="inlineStr">
        <is>
          <t>Алмазное бурение Ø132 в наружной стене 420 под бризеры</t>
        </is>
      </c>
      <c r="D43" s="10" t="inlineStr">
        <is>
          <t>шт</t>
        </is>
      </c>
      <c r="E43" s="10" t="n">
        <v>2</v>
      </c>
      <c r="F43" s="11" t="n">
        <v>6500</v>
      </c>
      <c r="G43" s="11">
        <f>E43*F43</f>
        <v/>
      </c>
      <c r="H43" s="10" t="inlineStr">
        <is>
          <t>BR1, BR2</t>
        </is>
      </c>
      <c r="I43" s="10" t="inlineStr"/>
    </row>
    <row r="44">
      <c r="A44" s="10" t="inlineStr">
        <is>
          <t>Э06</t>
        </is>
      </c>
      <c r="B44" s="10" t="inlineStr">
        <is>
          <t>Э06.1</t>
        </is>
      </c>
      <c r="C44" s="10" t="inlineStr">
        <is>
          <t>Гидроизоляция обмазочная 2 слоя с лентами (пол R5 — нижняя + основная, пол R6, стены)</t>
        </is>
      </c>
      <c r="D44" s="10" t="inlineStr">
        <is>
          <t>м²</t>
        </is>
      </c>
      <c r="E44" s="10" t="n">
        <v>26.56</v>
      </c>
      <c r="F44" s="11" t="n">
        <v>1000</v>
      </c>
      <c r="G44" s="11">
        <f>E44*F44</f>
        <v/>
      </c>
      <c r="H44" s="10" t="inlineStr">
        <is>
          <t>floors waterproofing_floor; waterproofing_walls</t>
        </is>
      </c>
      <c r="I44" s="10" t="inlineStr">
        <is>
          <t>R5 5.17×2 + R6 3.12 + стены 13.1</t>
        </is>
      </c>
    </row>
    <row r="45">
      <c r="A45" s="10" t="inlineStr">
        <is>
          <t>Э06</t>
        </is>
      </c>
      <c r="B45" s="10" t="inlineStr">
        <is>
          <t>Э06.2</t>
        </is>
      </c>
      <c r="C45" s="10" t="inlineStr">
        <is>
          <t>Подиум ванной ЦПС 78,5 мм армированный, уклон 1,5 % к трапу</t>
        </is>
      </c>
      <c r="D45" s="10" t="inlineStr">
        <is>
          <t>м²</t>
        </is>
      </c>
      <c r="E45" s="10" t="n">
        <v>5.1</v>
      </c>
      <c r="F45" s="11" t="n">
        <v>2500</v>
      </c>
      <c r="G45" s="11">
        <f>E45*F45</f>
        <v/>
      </c>
      <c r="H45" s="10" t="inlineStr">
        <is>
          <t>floors podium_screed_80; D18</t>
        </is>
      </c>
      <c r="I45" s="10" t="inlineStr"/>
    </row>
    <row r="46">
      <c r="A46" s="10" t="inlineStr">
        <is>
          <t>Э06</t>
        </is>
      </c>
      <c r="B46" s="10" t="inlineStr">
        <is>
          <t>Э06.3</t>
        </is>
      </c>
      <c r="C46" s="10" t="inlineStr">
        <is>
          <t>Рамка-бортик коллектора U14</t>
        </is>
      </c>
      <c r="D46" s="10" t="inlineStr">
        <is>
          <t>шт</t>
        </is>
      </c>
      <c r="E46" s="10" t="n">
        <v>1</v>
      </c>
      <c r="F46" s="11" t="n">
        <v>4000</v>
      </c>
      <c r="G46" s="11">
        <f>E46*F46</f>
        <v/>
      </c>
      <c r="H46" s="10" t="inlineStr">
        <is>
          <t>VK-C3; узел 6</t>
        </is>
      </c>
      <c r="I46" s="10" t="inlineStr"/>
    </row>
    <row r="47">
      <c r="A47" s="10" t="inlineStr">
        <is>
          <t>Э06</t>
        </is>
      </c>
      <c r="B47" s="10" t="inlineStr">
        <is>
          <t>Э06.4</t>
        </is>
      </c>
      <c r="C47" s="10" t="inlineStr">
        <is>
          <t>Пол балкона: ремонт плиты, XPS 50, ПЭ-плёнка, демпферная лента</t>
        </is>
      </c>
      <c r="D47" s="10" t="inlineStr">
        <is>
          <t>м²</t>
        </is>
      </c>
      <c r="E47" s="10" t="n">
        <v>6.86</v>
      </c>
      <c r="F47" s="11" t="n">
        <v>900</v>
      </c>
      <c r="G47" s="11">
        <f>E47*F47</f>
        <v/>
      </c>
      <c r="H47" s="10" t="inlineStr">
        <is>
          <t>P-BALC; D22</t>
        </is>
      </c>
      <c r="I47" s="10" t="inlineStr"/>
    </row>
    <row r="48">
      <c r="A48" s="10" t="inlineStr">
        <is>
          <t>Э06</t>
        </is>
      </c>
      <c r="B48" s="10" t="inlineStr">
        <is>
          <t>Э06.5</t>
        </is>
      </c>
      <c r="C48" s="10" t="inlineStr">
        <is>
          <t>Стяжка балкона ЦПС 55 армированная + СВС 10 по мату TP3</t>
        </is>
      </c>
      <c r="D48" s="10" t="inlineStr">
        <is>
          <t>м²</t>
        </is>
      </c>
      <c r="E48" s="10" t="n">
        <v>6.86</v>
      </c>
      <c r="F48" s="11" t="n">
        <v>1900</v>
      </c>
      <c r="G48" s="11">
        <f>E48*F48</f>
        <v/>
      </c>
      <c r="H48" s="10" t="inlineStr">
        <is>
          <t>P-BALC</t>
        </is>
      </c>
      <c r="I48" s="10" t="inlineStr"/>
    </row>
    <row r="49">
      <c r="A49" s="10" t="inlineStr">
        <is>
          <t>Э07</t>
        </is>
      </c>
      <c r="B49" s="10" t="inlineStr">
        <is>
          <t>Э07.1</t>
        </is>
      </c>
      <c r="C49" s="10" t="inlineStr">
        <is>
          <t>Штукатурка стен по маякам (гипсовая), ср. 15 мм</t>
        </is>
      </c>
      <c r="D49" s="10" t="inlineStr">
        <is>
          <t>м²</t>
        </is>
      </c>
      <c r="E49" s="10" t="n">
        <v>118.4</v>
      </c>
      <c r="F49" s="11" t="n">
        <v>750</v>
      </c>
      <c r="G49" s="11">
        <f>E49*F49</f>
        <v/>
      </c>
      <c r="H49" s="10" t="inlineStr">
        <is>
          <t>walls (gross − проёмы, без облицовок)</t>
        </is>
      </c>
      <c r="I49" s="10" t="inlineStr"/>
    </row>
    <row r="50">
      <c r="A50" s="10" t="inlineStr">
        <is>
          <t>Э07</t>
        </is>
      </c>
      <c r="B50" s="10" t="inlineStr">
        <is>
          <t>Э07.2</t>
        </is>
      </c>
      <c r="C50" s="10" t="inlineStr">
        <is>
          <t>Штукатурка стен по маякам (цементная, влажные помещения)</t>
        </is>
      </c>
      <c r="D50" s="10" t="inlineStr">
        <is>
          <t>м²</t>
        </is>
      </c>
      <c r="E50" s="10" t="n">
        <v>33.89</v>
      </c>
      <c r="F50" s="11" t="n">
        <v>850</v>
      </c>
      <c r="G50" s="11">
        <f>E50*F50</f>
        <v/>
      </c>
      <c r="H50" s="10" t="inlineStr">
        <is>
          <t>walls R5, R6</t>
        </is>
      </c>
      <c r="I50" s="10" t="inlineStr"/>
    </row>
    <row r="51">
      <c r="A51" s="10" t="inlineStr">
        <is>
          <t>Э07</t>
        </is>
      </c>
      <c r="B51" s="10" t="inlineStr">
        <is>
          <t>Э07.3</t>
        </is>
      </c>
      <c r="C51" s="10" t="inlineStr">
        <is>
          <t>Откосы: штукатурка, уголок, шпаклёвка (O2, O3, портал O4)</t>
        </is>
      </c>
      <c r="D51" s="10" t="inlineStr">
        <is>
          <t>м²</t>
        </is>
      </c>
      <c r="E51" s="10" t="n">
        <v>5.38</v>
      </c>
      <c r="F51" s="11" t="n">
        <v>2200</v>
      </c>
      <c r="G51" s="11">
        <f>E51*F51</f>
        <v/>
      </c>
      <c r="H51" s="10" t="inlineStr">
        <is>
          <t>walls plaster+paint*</t>
        </is>
      </c>
      <c r="I51" s="10" t="inlineStr"/>
    </row>
    <row r="52">
      <c r="A52" s="10" t="inlineStr">
        <is>
          <t>Э07</t>
        </is>
      </c>
      <c r="B52" s="10" t="inlineStr">
        <is>
          <t>Э07.4</t>
        </is>
      </c>
      <c r="C52" s="10" t="inlineStr">
        <is>
          <t>Шпаклёвка стен Q3 под покраску + стеклохолст-паутинка</t>
        </is>
      </c>
      <c r="D52" s="10" t="inlineStr">
        <is>
          <t>м²</t>
        </is>
      </c>
      <c r="E52" s="10" t="n">
        <v>105.6</v>
      </c>
      <c r="F52" s="11" t="n">
        <v>1100</v>
      </c>
      <c r="G52" s="11">
        <f>E52*F52</f>
        <v/>
      </c>
      <c r="H52" s="10" t="inlineStr">
        <is>
          <t>walls net (окрашиваемые)</t>
        </is>
      </c>
      <c r="I52" s="10" t="inlineStr"/>
    </row>
    <row r="53">
      <c r="A53" s="10" t="inlineStr">
        <is>
          <t>Э07</t>
        </is>
      </c>
      <c r="B53" s="10" t="inlineStr">
        <is>
          <t>Э07.5</t>
        </is>
      </c>
      <c r="C53" s="10" t="inlineStr">
        <is>
          <t>Шпаклёвка Q2 + грунт за встроенной мебелью и кухней</t>
        </is>
      </c>
      <c r="D53" s="10" t="inlineStr">
        <is>
          <t>м²</t>
        </is>
      </c>
      <c r="E53" s="10" t="n">
        <v>50.01</v>
      </c>
      <c r="F53" s="11" t="n">
        <v>350</v>
      </c>
      <c r="G53" s="11">
        <f>E53*F53</f>
        <v/>
      </c>
      <c r="H53" s="10" t="inlineStr">
        <is>
          <t>walls behind_furniture + paint_q2</t>
        </is>
      </c>
      <c r="I53" s="10" t="inlineStr"/>
    </row>
    <row r="54">
      <c r="A54" s="10" t="inlineStr">
        <is>
          <t>Э07</t>
        </is>
      </c>
      <c r="B54" s="10" t="inlineStr">
        <is>
          <t>Э07.6</t>
        </is>
      </c>
      <c r="C54" s="10" t="inlineStr">
        <is>
          <t>Шпаклёвка потолков и коробов ГКЛ Q4 (швы + сплошная)</t>
        </is>
      </c>
      <c r="D54" s="10" t="inlineStr">
        <is>
          <t>м²</t>
        </is>
      </c>
      <c r="E54" s="10" t="n">
        <v>69.3</v>
      </c>
      <c r="F54" s="11" t="n">
        <v>950</v>
      </c>
      <c r="G54" s="11">
        <f>E54*F54</f>
        <v/>
      </c>
      <c r="H54" s="10" t="inlineStr">
        <is>
          <t>ceilings Σ</t>
        </is>
      </c>
      <c r="I54" s="10" t="inlineStr"/>
    </row>
    <row r="55">
      <c r="A55" s="10" t="inlineStr">
        <is>
          <t>Э08</t>
        </is>
      </c>
      <c r="B55" s="10" t="inlineStr">
        <is>
          <t>Э08.1</t>
        </is>
      </c>
      <c r="C55" s="10" t="inlineStr">
        <is>
          <t>Укладка керамогранита 60×60 на пол (прихожая, ванная, постирочная)</t>
        </is>
      </c>
      <c r="D55" s="10" t="inlineStr">
        <is>
          <t>м²</t>
        </is>
      </c>
      <c r="E55" s="10" t="n">
        <v>7.74</v>
      </c>
      <c r="F55" s="11" t="n">
        <v>2800</v>
      </c>
      <c r="G55" s="11">
        <f>E55*F55</f>
        <v/>
      </c>
      <c r="H55" s="10" t="inlineStr">
        <is>
          <t>floors porcelain_60x60_*</t>
        </is>
      </c>
      <c r="I55" s="10" t="inlineStr"/>
    </row>
    <row r="56">
      <c r="A56" s="10" t="inlineStr">
        <is>
          <t>Э08</t>
        </is>
      </c>
      <c r="B56" s="10" t="inlineStr">
        <is>
          <t>Э08.2</t>
        </is>
      </c>
      <c r="C56" s="10" t="inlineStr">
        <is>
          <t>Укладка керамогранита 60×120 на пол душа с уклоном к трапу</t>
        </is>
      </c>
      <c r="D56" s="10" t="inlineStr">
        <is>
          <t>м²</t>
        </is>
      </c>
      <c r="E56" s="10" t="n">
        <v>0.71</v>
      </c>
      <c r="F56" s="11" t="n">
        <v>4800</v>
      </c>
      <c r="G56" s="11">
        <f>E56*F56</f>
        <v/>
      </c>
      <c r="H56" s="10" t="inlineStr">
        <is>
          <t>floors porcelain_60x120_shower</t>
        </is>
      </c>
      <c r="I56" s="10" t="inlineStr"/>
    </row>
    <row r="57">
      <c r="A57" s="10" t="inlineStr">
        <is>
          <t>Э08</t>
        </is>
      </c>
      <c r="B57" s="10" t="inlineStr">
        <is>
          <t>Э08.3</t>
        </is>
      </c>
      <c r="C57" s="10" t="inlineStr">
        <is>
          <t>Облицовка стен керамогранитом 60×120 (ванная), с СВП</t>
        </is>
      </c>
      <c r="D57" s="10" t="inlineStr">
        <is>
          <t>м²</t>
        </is>
      </c>
      <c r="E57" s="10" t="n">
        <v>16.45</v>
      </c>
      <c r="F57" s="11" t="n">
        <v>3900</v>
      </c>
      <c r="G57" s="11">
        <f>E57*F57</f>
        <v/>
      </c>
      <c r="H57" s="10" t="inlineStr">
        <is>
          <t>walls tile_wet + tile_dry</t>
        </is>
      </c>
      <c r="I57" s="10" t="inlineStr"/>
    </row>
    <row r="58">
      <c r="A58" s="10" t="inlineStr">
        <is>
          <t>Э08</t>
        </is>
      </c>
      <c r="B58" s="10" t="inlineStr">
        <is>
          <t>Э08.4</t>
        </is>
      </c>
      <c r="C58" s="10" t="inlineStr">
        <is>
          <t>Фартук кухни керамогранит</t>
        </is>
      </c>
      <c r="D58" s="10" t="inlineStr">
        <is>
          <t>м²</t>
        </is>
      </c>
      <c r="E58" s="10" t="n">
        <v>1.85</v>
      </c>
      <c r="F58" s="11" t="n">
        <v>3600</v>
      </c>
      <c r="G58" s="11">
        <f>E58*F58</f>
        <v/>
      </c>
      <c r="H58" s="10" t="inlineStr">
        <is>
          <t>walls tile_apron_porcelain</t>
        </is>
      </c>
      <c r="I58" s="10" t="inlineStr"/>
    </row>
    <row r="59">
      <c r="A59" s="10" t="inlineStr">
        <is>
          <t>Э08</t>
        </is>
      </c>
      <c r="B59" s="10" t="inlineStr">
        <is>
          <t>Э08.5</t>
        </is>
      </c>
      <c r="C59" s="10" t="inlineStr">
        <is>
          <t>Фартук хозмойки «кабанчик»</t>
        </is>
      </c>
      <c r="D59" s="10" t="inlineStr">
        <is>
          <t>м²</t>
        </is>
      </c>
      <c r="E59" s="10" t="n">
        <v>0.77</v>
      </c>
      <c r="F59" s="11" t="n">
        <v>3300</v>
      </c>
      <c r="G59" s="11">
        <f>E59*F59</f>
        <v/>
      </c>
      <c r="H59" s="10" t="inlineStr">
        <is>
          <t>walls tile_apron</t>
        </is>
      </c>
      <c r="I59" s="10" t="inlineStr"/>
    </row>
    <row r="60">
      <c r="A60" s="10" t="inlineStr">
        <is>
          <t>Э08</t>
        </is>
      </c>
      <c r="B60" s="10" t="inlineStr">
        <is>
          <t>Э08.6</t>
        </is>
      </c>
      <c r="C60" s="10" t="inlineStr">
        <is>
          <t>Ниши в облицовке душа: облицовка с латунным уголком</t>
        </is>
      </c>
      <c r="D60" s="10" t="inlineStr">
        <is>
          <t>шт</t>
        </is>
      </c>
      <c r="E60" s="10" t="n">
        <v>2</v>
      </c>
      <c r="F60" s="11" t="n">
        <v>5000</v>
      </c>
      <c r="G60" s="11">
        <f>E60*F60</f>
        <v/>
      </c>
      <c r="H60" s="10" t="inlineStr">
        <is>
          <t>counts; D23</t>
        </is>
      </c>
      <c r="I60" s="10" t="inlineStr"/>
    </row>
    <row r="61">
      <c r="A61" s="10" t="inlineStr">
        <is>
          <t>Э08</t>
        </is>
      </c>
      <c r="B61" s="10" t="inlineStr">
        <is>
          <t>Э08.7</t>
        </is>
      </c>
      <c r="C61" s="10" t="inlineStr">
        <is>
          <t>Установка люков-невидимок под плитку (H1, H2, H3, H6)</t>
        </is>
      </c>
      <c r="D61" s="10" t="inlineStr">
        <is>
          <t>шт</t>
        </is>
      </c>
      <c r="E61" s="10" t="n">
        <v>4</v>
      </c>
      <c r="F61" s="11" t="n">
        <v>3500</v>
      </c>
      <c r="G61" s="11">
        <f>E61*F61</f>
        <v/>
      </c>
      <c r="H61" s="10" t="inlineStr">
        <is>
          <t>counts; ВК-03</t>
        </is>
      </c>
      <c r="I61" s="10" t="inlineStr"/>
    </row>
    <row r="62">
      <c r="A62" s="10" t="inlineStr">
        <is>
          <t>Э08</t>
        </is>
      </c>
      <c r="B62" s="10" t="inlineStr">
        <is>
          <t>Э08.8</t>
        </is>
      </c>
      <c r="C62" s="10" t="inlineStr">
        <is>
          <t>Латунный профиль на линии +1280, порог-ступень D3, порог D4</t>
        </is>
      </c>
      <c r="D62" s="10" t="inlineStr">
        <is>
          <t>компл</t>
        </is>
      </c>
      <c r="E62" s="10" t="n">
        <v>1</v>
      </c>
      <c r="F62" s="11" t="n">
        <v>9000</v>
      </c>
      <c r="G62" s="11">
        <f>E62*F62</f>
        <v/>
      </c>
      <c r="H62" s="10" t="inlineStr">
        <is>
          <t>J5, J6; M21</t>
        </is>
      </c>
      <c r="I62" s="10" t="inlineStr"/>
    </row>
    <row r="63">
      <c r="A63" s="10" t="inlineStr">
        <is>
          <t>Э08</t>
        </is>
      </c>
      <c r="B63" s="10" t="inlineStr">
        <is>
          <t>Э08.9</t>
        </is>
      </c>
      <c r="C63" s="10" t="inlineStr">
        <is>
          <t>Затирка эпоксидная (ванная)</t>
        </is>
      </c>
      <c r="D63" s="10" t="inlineStr">
        <is>
          <t>м²</t>
        </is>
      </c>
      <c r="E63" s="10" t="n">
        <v>19.92</v>
      </c>
      <c r="F63" s="11" t="n">
        <v>600</v>
      </c>
      <c r="G63" s="11">
        <f>E63*F63</f>
        <v/>
      </c>
      <c r="H63" s="10" t="inlineStr">
        <is>
          <t>R5 tile</t>
        </is>
      </c>
      <c r="I63" s="10" t="inlineStr"/>
    </row>
    <row r="64">
      <c r="A64" s="10" t="inlineStr">
        <is>
          <t>Э09</t>
        </is>
      </c>
      <c r="B64" s="10" t="inlineStr">
        <is>
          <t>Э09.1</t>
        </is>
      </c>
      <c r="C64" s="10" t="inlineStr">
        <is>
          <t>Потолок ГКЛ по каркасу (спальня, детская, кухня, прихожая)</t>
        </is>
      </c>
      <c r="D64" s="10" t="inlineStr">
        <is>
          <t>м²</t>
        </is>
      </c>
      <c r="E64" s="10" t="n">
        <v>48.97</v>
      </c>
      <c r="F64" s="11" t="n">
        <v>1450</v>
      </c>
      <c r="G64" s="11">
        <f>E64*F64</f>
        <v/>
      </c>
      <c r="H64" s="10" t="inlineStr">
        <is>
          <t>ceilings gkl_paint_*; АР-09</t>
        </is>
      </c>
      <c r="I64" s="10" t="inlineStr"/>
    </row>
    <row r="65">
      <c r="A65" s="10" t="inlineStr">
        <is>
          <t>Э09</t>
        </is>
      </c>
      <c r="B65" s="10" t="inlineStr">
        <is>
          <t>Э09.2</t>
        </is>
      </c>
      <c r="C65" s="10" t="inlineStr">
        <is>
          <t>Потолок ГКЛВ по каркасу (ванная, постирочная, балкон)</t>
        </is>
      </c>
      <c r="D65" s="10" t="inlineStr">
        <is>
          <t>м²</t>
        </is>
      </c>
      <c r="E65" s="10" t="n">
        <v>13.36</v>
      </c>
      <c r="F65" s="11" t="n">
        <v>1600</v>
      </c>
      <c r="G65" s="11">
        <f>E65*F65</f>
        <v/>
      </c>
      <c r="H65" s="10" t="inlineStr">
        <is>
          <t>ceilings gklv_*</t>
        </is>
      </c>
      <c r="I65" s="10" t="inlineStr"/>
    </row>
    <row r="66">
      <c r="A66" s="10" t="inlineStr">
        <is>
          <t>Э09</t>
        </is>
      </c>
      <c r="B66" s="10" t="inlineStr">
        <is>
          <t>Э09.3</t>
        </is>
      </c>
      <c r="C66" s="10" t="inlineStr">
        <is>
          <t>Короба CB-1, CB-2, CB-3 (ламбрекен) с гранями</t>
        </is>
      </c>
      <c r="D66" s="10" t="inlineStr">
        <is>
          <t>м²</t>
        </is>
      </c>
      <c r="E66" s="10" t="n">
        <v>4.57</v>
      </c>
      <c r="F66" s="11" t="n">
        <v>2800</v>
      </c>
      <c r="G66" s="11">
        <f>E66*F66</f>
        <v/>
      </c>
      <c r="H66" s="10" t="inlineStr">
        <is>
          <t>ceilings box_*; CB-1…CB-3</t>
        </is>
      </c>
      <c r="I66" s="10" t="inlineStr"/>
    </row>
    <row r="67">
      <c r="A67" s="10" t="inlineStr">
        <is>
          <t>Э09</t>
        </is>
      </c>
      <c r="B67" s="10" t="inlineStr">
        <is>
          <t>Э09.4</t>
        </is>
      </c>
      <c r="C67" s="10" t="inlineStr">
        <is>
          <t>Ниша экрана в ламбрекене CB-3 (щель, ревизия корпуса экрана)</t>
        </is>
      </c>
      <c r="D67" s="10" t="inlineStr">
        <is>
          <t>шт</t>
        </is>
      </c>
      <c r="E67" s="10" t="n">
        <v>1</v>
      </c>
      <c r="F67" s="11" t="n">
        <v>12000</v>
      </c>
      <c r="G67" s="11">
        <f>E67*F67</f>
        <v/>
      </c>
      <c r="H67" s="10" t="inlineStr">
        <is>
          <t>CB-3; узел 9</t>
        </is>
      </c>
      <c r="I67" s="10" t="inlineStr"/>
    </row>
    <row r="68">
      <c r="A68" s="10" t="inlineStr">
        <is>
          <t>Э09</t>
        </is>
      </c>
      <c r="B68" s="10" t="inlineStr">
        <is>
          <t>Э09.5</t>
        </is>
      </c>
      <c r="C68" s="10" t="inlineStr">
        <is>
          <t>Ниши штор CN-1…CN-3 (борт ГКЛ)</t>
        </is>
      </c>
      <c r="D68" s="10" t="inlineStr">
        <is>
          <t>м²</t>
        </is>
      </c>
      <c r="E68" s="10" t="n">
        <v>2.4</v>
      </c>
      <c r="F68" s="11" t="n">
        <v>2200</v>
      </c>
      <c r="G68" s="11">
        <f>E68*F68</f>
        <v/>
      </c>
      <c r="H68" s="10" t="inlineStr">
        <is>
          <t>ceilings curtain_niche*</t>
        </is>
      </c>
      <c r="I68" s="10" t="inlineStr"/>
    </row>
    <row r="69">
      <c r="A69" s="10" t="inlineStr">
        <is>
          <t>Э09</t>
        </is>
      </c>
      <c r="B69" s="10" t="inlineStr">
        <is>
          <t>Э09.6</t>
        </is>
      </c>
      <c r="C69" s="10" t="inlineStr">
        <is>
          <t>Теневой профиль 10×10</t>
        </is>
      </c>
      <c r="D69" s="10" t="inlineStr">
        <is>
          <t>м</t>
        </is>
      </c>
      <c r="E69" s="10" t="n">
        <v>15.04</v>
      </c>
      <c r="F69" s="11" t="n">
        <v>500</v>
      </c>
      <c r="G69" s="11">
        <f>E69*F69</f>
        <v/>
      </c>
      <c r="H69" s="10" t="inlineStr">
        <is>
          <t>linear shadow_profile</t>
        </is>
      </c>
      <c r="I69" s="10" t="inlineStr"/>
    </row>
    <row r="70">
      <c r="A70" s="10" t="inlineStr">
        <is>
          <t>Э09</t>
        </is>
      </c>
      <c r="B70" s="10" t="inlineStr">
        <is>
          <t>Э09.7</t>
        </is>
      </c>
      <c r="C70" s="10" t="inlineStr">
        <is>
          <t>Люки потолочные HC-1, вентрешётка HC-2</t>
        </is>
      </c>
      <c r="D70" s="10" t="inlineStr">
        <is>
          <t>шт</t>
        </is>
      </c>
      <c r="E70" s="10" t="n">
        <v>2</v>
      </c>
      <c r="F70" s="11" t="n">
        <v>3000</v>
      </c>
      <c r="G70" s="11">
        <f>E70*F70</f>
        <v/>
      </c>
      <c r="H70" s="10" t="inlineStr">
        <is>
          <t>HC-1, HC-2</t>
        </is>
      </c>
      <c r="I70" s="10" t="inlineStr"/>
    </row>
    <row r="71">
      <c r="A71" s="10" t="inlineStr">
        <is>
          <t>Э10</t>
        </is>
      </c>
      <c r="B71" s="10" t="inlineStr">
        <is>
          <t>Э10.1</t>
        </is>
      </c>
      <c r="C71" s="10" t="inlineStr">
        <is>
          <t>Окраска стены, матовая моющаяся класс 1–2 (C2), 2 слоя</t>
        </is>
      </c>
      <c r="D71" s="10" t="inlineStr">
        <is>
          <t>м²</t>
        </is>
      </c>
      <c r="E71" s="10" t="n">
        <v>56.72</v>
      </c>
      <c r="F71" s="11" t="n">
        <v>550</v>
      </c>
      <c r="G71" s="11">
        <f>E71*F71</f>
        <v/>
      </c>
      <c r="H71" s="10" t="inlineStr">
        <is>
          <t>finish-quantities; palette.json</t>
        </is>
      </c>
      <c r="I71" s="10" t="inlineStr">
        <is>
          <t>R1, R3, R4</t>
        </is>
      </c>
    </row>
    <row r="72">
      <c r="A72" s="10" t="inlineStr">
        <is>
          <t>Э10</t>
        </is>
      </c>
      <c r="B72" s="10" t="inlineStr">
        <is>
          <t>Э10.2</t>
        </is>
      </c>
      <c r="C72" s="10" t="inlineStr">
        <is>
          <t>Окраска детская, низ до +900, износостойкая класс 1 (C5), 2 слоя</t>
        </is>
      </c>
      <c r="D72" s="10" t="inlineStr">
        <is>
          <t>м²</t>
        </is>
      </c>
      <c r="E72" s="10" t="n">
        <v>9.02</v>
      </c>
      <c r="F72" s="11" t="n">
        <v>650</v>
      </c>
      <c r="G72" s="11">
        <f>E72*F72</f>
        <v/>
      </c>
      <c r="H72" s="10" t="inlineStr">
        <is>
          <t>finish-quantities; palette.json</t>
        </is>
      </c>
      <c r="I72" s="10" t="inlineStr">
        <is>
          <t>R2</t>
        </is>
      </c>
    </row>
    <row r="73">
      <c r="A73" s="10" t="inlineStr">
        <is>
          <t>Э10</t>
        </is>
      </c>
      <c r="B73" s="10" t="inlineStr">
        <is>
          <t>Э10.3</t>
        </is>
      </c>
      <c r="C73" s="10" t="inlineStr">
        <is>
          <t>Окраска детская, верх стен (C1), 2 слоя</t>
        </is>
      </c>
      <c r="D73" s="10" t="inlineStr">
        <is>
          <t>м²</t>
        </is>
      </c>
      <c r="E73" s="10" t="n">
        <v>18.04</v>
      </c>
      <c r="F73" s="11" t="n">
        <v>550</v>
      </c>
      <c r="G73" s="11">
        <f>E73*F73</f>
        <v/>
      </c>
      <c r="H73" s="10" t="inlineStr">
        <is>
          <t>finish-quantities; palette.json</t>
        </is>
      </c>
      <c r="I73" s="10" t="inlineStr">
        <is>
          <t>R2</t>
        </is>
      </c>
    </row>
    <row r="74">
      <c r="A74" s="10" t="inlineStr">
        <is>
          <t>Э10</t>
        </is>
      </c>
      <c r="B74" s="10" t="inlineStr">
        <is>
          <t>Э10.4</t>
        </is>
      </c>
      <c r="C74" s="10" t="inlineStr">
        <is>
          <t>Окраска стены ванной/постирочной, для влажных помещений (C2), 2 слоя</t>
        </is>
      </c>
      <c r="D74" s="10" t="inlineStr">
        <is>
          <t>м²</t>
        </is>
      </c>
      <c r="E74" s="10" t="n">
        <v>11.42</v>
      </c>
      <c r="F74" s="11" t="n">
        <v>550</v>
      </c>
      <c r="G74" s="11">
        <f>E74*F74</f>
        <v/>
      </c>
      <c r="H74" s="10" t="inlineStr">
        <is>
          <t>finish-quantities; palette.json</t>
        </is>
      </c>
      <c r="I74" s="10" t="inlineStr">
        <is>
          <t>R5, R6</t>
        </is>
      </c>
    </row>
    <row r="75">
      <c r="A75" s="10" t="inlineStr">
        <is>
          <t>Э10</t>
        </is>
      </c>
      <c r="B75" s="10" t="inlineStr">
        <is>
          <t>Э10.5</t>
        </is>
      </c>
      <c r="C75" s="10" t="inlineStr">
        <is>
          <t>Окраска балкон, глубокоматовая, тёмная (3 слоя) (C6), 3 слоя</t>
        </is>
      </c>
      <c r="D75" s="10" t="inlineStr">
        <is>
          <t>м²</t>
        </is>
      </c>
      <c r="E75" s="10" t="n">
        <v>10.4</v>
      </c>
      <c r="F75" s="11" t="n">
        <v>750</v>
      </c>
      <c r="G75" s="11">
        <f>E75*F75</f>
        <v/>
      </c>
      <c r="H75" s="10" t="inlineStr">
        <is>
          <t>finish-quantities; palette.json</t>
        </is>
      </c>
      <c r="I75" s="10" t="inlineStr">
        <is>
          <t>R7</t>
        </is>
      </c>
    </row>
    <row r="76">
      <c r="A76" s="10" t="inlineStr">
        <is>
          <t>Э10</t>
        </is>
      </c>
      <c r="B76" s="10" t="inlineStr">
        <is>
          <t>Э10.6</t>
        </is>
      </c>
      <c r="C76" s="10" t="inlineStr">
        <is>
          <t>Окраска откосы O2, O3, портал O4 (C1), 2 слоя</t>
        </is>
      </c>
      <c r="D76" s="10" t="inlineStr">
        <is>
          <t>м²</t>
        </is>
      </c>
      <c r="E76" s="10" t="n">
        <v>5.38</v>
      </c>
      <c r="F76" s="11" t="n">
        <v>550</v>
      </c>
      <c r="G76" s="11">
        <f>E76*F76</f>
        <v/>
      </c>
      <c r="H76" s="10" t="inlineStr">
        <is>
          <t>finish-quantities; palette.json</t>
        </is>
      </c>
      <c r="I76" s="10" t="inlineStr">
        <is>
          <t>R1, R2, R3</t>
        </is>
      </c>
    </row>
    <row r="77">
      <c r="A77" s="10" t="inlineStr">
        <is>
          <t>Э10</t>
        </is>
      </c>
      <c r="B77" s="10" t="inlineStr">
        <is>
          <t>Э10.7</t>
        </is>
      </c>
      <c r="C77" s="10" t="inlineStr">
        <is>
          <t>Окраска потолки ГКЛ, глубокоматовая (C1), 2 слоя</t>
        </is>
      </c>
      <c r="D77" s="10" t="inlineStr">
        <is>
          <t>м²</t>
        </is>
      </c>
      <c r="E77" s="10" t="n">
        <v>54.93</v>
      </c>
      <c r="F77" s="11" t="n">
        <v>550</v>
      </c>
      <c r="G77" s="11">
        <f>E77*F77</f>
        <v/>
      </c>
      <c r="H77" s="10" t="inlineStr">
        <is>
          <t>finish-quantities; palette.json</t>
        </is>
      </c>
      <c r="I77" s="10" t="inlineStr">
        <is>
          <t>R1, R2, R3, R4</t>
        </is>
      </c>
    </row>
    <row r="78">
      <c r="A78" s="10" t="inlineStr">
        <is>
          <t>Э10</t>
        </is>
      </c>
      <c r="B78" s="10" t="inlineStr">
        <is>
          <t>Э10.8</t>
        </is>
      </c>
      <c r="C78" s="10" t="inlineStr">
        <is>
          <t>Окраска потолки ГКЛВ ванной и постирочной, влагостойкая (C1), 2 слоя</t>
        </is>
      </c>
      <c r="D78" s="10" t="inlineStr">
        <is>
          <t>м²</t>
        </is>
      </c>
      <c r="E78" s="10" t="n">
        <v>8.289999999999999</v>
      </c>
      <c r="F78" s="11" t="n">
        <v>550</v>
      </c>
      <c r="G78" s="11">
        <f>E78*F78</f>
        <v/>
      </c>
      <c r="H78" s="10" t="inlineStr">
        <is>
          <t>finish-quantities; palette.json</t>
        </is>
      </c>
      <c r="I78" s="10" t="inlineStr">
        <is>
          <t>R5, R6</t>
        </is>
      </c>
    </row>
    <row r="79">
      <c r="A79" s="10" t="inlineStr">
        <is>
          <t>Э10</t>
        </is>
      </c>
      <c r="B79" s="10" t="inlineStr">
        <is>
          <t>Э10.9</t>
        </is>
      </c>
      <c r="C79" s="10" t="inlineStr">
        <is>
          <t>Окраска потолок балкона и ниша CN-3 (C6), 3 слоя</t>
        </is>
      </c>
      <c r="D79" s="10" t="inlineStr">
        <is>
          <t>м²</t>
        </is>
      </c>
      <c r="E79" s="10" t="n">
        <v>6.08</v>
      </c>
      <c r="F79" s="11" t="n">
        <v>750</v>
      </c>
      <c r="G79" s="11">
        <f>E79*F79</f>
        <v/>
      </c>
      <c r="H79" s="10" t="inlineStr">
        <is>
          <t>finish-quantities; palette.json</t>
        </is>
      </c>
      <c r="I79" s="10" t="inlineStr">
        <is>
          <t>R7</t>
        </is>
      </c>
    </row>
    <row r="80">
      <c r="A80" s="10" t="inlineStr">
        <is>
          <t>Э10</t>
        </is>
      </c>
      <c r="B80" s="10" t="inlineStr">
        <is>
          <t>Э10.10</t>
        </is>
      </c>
      <c r="C80" s="10" t="inlineStr">
        <is>
          <t>Монтаж потолочных карнизов (клей, заделка стыков, окраска)</t>
        </is>
      </c>
      <c r="D80" s="10" t="inlineStr">
        <is>
          <t>м</t>
        </is>
      </c>
      <c r="E80" s="10" t="n">
        <v>48.37</v>
      </c>
      <c r="F80" s="11" t="n">
        <v>650</v>
      </c>
      <c r="G80" s="11">
        <f>E80*F80</f>
        <v/>
      </c>
      <c r="H80" s="10" t="inlineStr">
        <is>
          <t>linear cornice_*</t>
        </is>
      </c>
      <c r="I80" s="10" t="inlineStr"/>
    </row>
    <row r="81">
      <c r="A81" s="10" t="inlineStr">
        <is>
          <t>Э10</t>
        </is>
      </c>
      <c r="B81" s="10" t="inlineStr">
        <is>
          <t>Э10.11</t>
        </is>
      </c>
      <c r="C81" s="10" t="inlineStr">
        <is>
          <t>Монтаж карниза с LED-пазом буазери</t>
        </is>
      </c>
      <c r="D81" s="10" t="inlineStr">
        <is>
          <t>м</t>
        </is>
      </c>
      <c r="E81" s="10" t="n">
        <v>2.9</v>
      </c>
      <c r="F81" s="11" t="n">
        <v>1600</v>
      </c>
      <c r="G81" s="11">
        <f>E81*F81</f>
        <v/>
      </c>
      <c r="H81" s="10" t="inlineStr">
        <is>
          <t>linear cornice_boiserie_LED</t>
        </is>
      </c>
      <c r="I81" s="10" t="inlineStr"/>
    </row>
    <row r="82">
      <c r="A82" s="10" t="inlineStr">
        <is>
          <t>Э10</t>
        </is>
      </c>
      <c r="B82" s="10" t="inlineStr">
        <is>
          <t>Э10.12</t>
        </is>
      </c>
      <c r="C82" s="10" t="inlineStr">
        <is>
          <t>Монтаж плинтуса МДФ к стене на клею (без крепления в пол), окраска</t>
        </is>
      </c>
      <c r="D82" s="10" t="inlineStr">
        <is>
          <t>м</t>
        </is>
      </c>
      <c r="E82" s="10" t="n">
        <v>38.64</v>
      </c>
      <c r="F82" s="11" t="n">
        <v>650</v>
      </c>
      <c r="G82" s="11">
        <f>E82*F82</f>
        <v/>
      </c>
      <c r="H82" s="10" t="inlineStr">
        <is>
          <t>linear plinth_*</t>
        </is>
      </c>
      <c r="I82" s="10" t="inlineStr"/>
    </row>
    <row r="83">
      <c r="A83" s="10" t="inlineStr">
        <is>
          <t>Э10</t>
        </is>
      </c>
      <c r="B83" s="10" t="inlineStr">
        <is>
          <t>Э10.13</t>
        </is>
      </c>
      <c r="C83" s="10" t="inlineStr">
        <is>
          <t>Монтаж молдингов (chair rail, рамки R1 W7 и R3 W8) с запилом</t>
        </is>
      </c>
      <c r="D83" s="10" t="inlineStr">
        <is>
          <t>м</t>
        </is>
      </c>
      <c r="E83" s="10" t="n">
        <v>34.08</v>
      </c>
      <c r="F83" s="11" t="n">
        <v>800</v>
      </c>
      <c r="G83" s="11">
        <f>E83*F83</f>
        <v/>
      </c>
      <c r="H83" s="10" t="inlineStr">
        <is>
          <t>linear chair_rail; elevations R1 W7; M14</t>
        </is>
      </c>
      <c r="I83" s="10" t="inlineStr"/>
    </row>
    <row r="84">
      <c r="A84" s="10" t="inlineStr">
        <is>
          <t>Э11</t>
        </is>
      </c>
      <c r="B84" s="10" t="inlineStr">
        <is>
          <t>Э11.1</t>
        </is>
      </c>
      <c r="C84" s="10" t="inlineStr">
        <is>
          <t>Подготовка основания: шлифовка, обеспыливание, грунт, локальный ремонт; замер влажности CM</t>
        </is>
      </c>
      <c r="D84" s="10" t="inlineStr">
        <is>
          <t>м²</t>
        </is>
      </c>
      <c r="E84" s="10" t="n">
        <v>57.92</v>
      </c>
      <c r="F84" s="11" t="n">
        <v>450</v>
      </c>
      <c r="G84" s="11">
        <f>E84*F84</f>
        <v/>
      </c>
      <c r="H84" s="10" t="inlineStr">
        <is>
          <t>P-OAK, P-BALC</t>
        </is>
      </c>
      <c r="I84" s="10" t="inlineStr"/>
    </row>
    <row r="85">
      <c r="A85" s="10" t="inlineStr">
        <is>
          <t>Э11</t>
        </is>
      </c>
      <c r="B85" s="10" t="inlineStr">
        <is>
          <t>Э11.2</t>
        </is>
      </c>
      <c r="C85" s="10" t="inlineStr">
        <is>
          <t>Укладка инженерной доски «ёлочка» на клей (без порогов)</t>
        </is>
      </c>
      <c r="D85" s="10" t="inlineStr">
        <is>
          <t>м²</t>
        </is>
      </c>
      <c r="E85" s="10" t="n">
        <v>51.45</v>
      </c>
      <c r="F85" s="11" t="n">
        <v>2500</v>
      </c>
      <c r="G85" s="11">
        <f>E85*F85</f>
        <v/>
      </c>
      <c r="H85" s="10" t="inlineStr">
        <is>
          <t>floors oak_herringbone; M01</t>
        </is>
      </c>
      <c r="I85" s="10" t="inlineStr"/>
    </row>
    <row r="86">
      <c r="A86" s="10" t="inlineStr">
        <is>
          <t>Э11</t>
        </is>
      </c>
      <c r="B86" s="10" t="inlineStr">
        <is>
          <t>Э11.3</t>
        </is>
      </c>
      <c r="C86" s="10" t="inlineStr">
        <is>
          <t>Укладка LVT «ёлочка» на клей</t>
        </is>
      </c>
      <c r="D86" s="10" t="inlineStr">
        <is>
          <t>м²</t>
        </is>
      </c>
      <c r="E86" s="10" t="n">
        <v>6.47</v>
      </c>
      <c r="F86" s="11" t="n">
        <v>1600</v>
      </c>
      <c r="G86" s="11">
        <f>E86*F86</f>
        <v/>
      </c>
      <c r="H86" s="10" t="inlineStr">
        <is>
          <t>floors lvt_herringbone; M28</t>
        </is>
      </c>
      <c r="I86" s="10" t="inlineStr"/>
    </row>
    <row r="87">
      <c r="A87" s="10" t="inlineStr">
        <is>
          <t>Э11</t>
        </is>
      </c>
      <c r="B87" s="10" t="inlineStr">
        <is>
          <t>Э11.4</t>
        </is>
      </c>
      <c r="C87" s="10" t="inlineStr">
        <is>
          <t>Стыки покрытий: латунный Т-профиль на клею, пробковые компенсаторы</t>
        </is>
      </c>
      <c r="D87" s="10" t="inlineStr">
        <is>
          <t>м</t>
        </is>
      </c>
      <c r="E87" s="10" t="n">
        <v>6.43</v>
      </c>
      <c r="F87" s="11" t="n">
        <v>900</v>
      </c>
      <c r="G87" s="11">
        <f>E87*F87</f>
        <v/>
      </c>
      <c r="H87" s="10" t="inlineStr">
        <is>
          <t>J1, J2, J4</t>
        </is>
      </c>
      <c r="I87" s="10" t="inlineStr"/>
    </row>
    <row r="88">
      <c r="A88" s="10" t="inlineStr">
        <is>
          <t>Э12</t>
        </is>
      </c>
      <c r="B88" s="10" t="inlineStr">
        <is>
          <t>Э12.1</t>
        </is>
      </c>
      <c r="C88" s="10" t="inlineStr">
        <is>
          <t>Установка межкомнатной двери (коробка, скрытые петли, фурнитура, наличники с 2 сторон)</t>
        </is>
      </c>
      <c r="D88" s="10" t="inlineStr">
        <is>
          <t>шт</t>
        </is>
      </c>
      <c r="E88" s="10" t="n">
        <v>4</v>
      </c>
      <c r="F88" s="11" t="n">
        <v>9500</v>
      </c>
      <c r="G88" s="11">
        <f>E88*F88</f>
        <v/>
      </c>
      <c r="H88" s="10" t="inlineStr">
        <is>
          <t>D1–D4; АР-08</t>
        </is>
      </c>
      <c r="I88" s="10" t="inlineStr"/>
    </row>
    <row r="89">
      <c r="A89" s="10" t="inlineStr">
        <is>
          <t>Э12</t>
        </is>
      </c>
      <c r="B89" s="10" t="inlineStr">
        <is>
          <t>Э12.2</t>
        </is>
      </c>
      <c r="C89" s="10" t="inlineStr">
        <is>
          <t>Установка надпроёмной панели D1 и наличника ДВ-1</t>
        </is>
      </c>
      <c r="D89" s="10" t="inlineStr">
        <is>
          <t>шт</t>
        </is>
      </c>
      <c r="E89" s="10" t="n">
        <v>2</v>
      </c>
      <c r="F89" s="11" t="n">
        <v>3500</v>
      </c>
      <c r="G89" s="11">
        <f>E89*F89</f>
        <v/>
      </c>
      <c r="H89" s="10" t="inlineStr">
        <is>
          <t>D1, O5</t>
        </is>
      </c>
      <c r="I89" s="10" t="inlineStr"/>
    </row>
    <row r="90">
      <c r="A90" s="10" t="inlineStr">
        <is>
          <t>Э13</t>
        </is>
      </c>
      <c r="B90" s="10" t="inlineStr">
        <is>
          <t>Э13.1</t>
        </is>
      </c>
      <c r="C90" s="10" t="inlineStr">
        <is>
          <t>Установка механизмов розеток/выключателей с рамками</t>
        </is>
      </c>
      <c r="D90" s="10" t="inlineStr">
        <is>
          <t>шт</t>
        </is>
      </c>
      <c r="E90" s="10" t="n">
        <v>87</v>
      </c>
      <c r="F90" s="11" t="n">
        <v>350</v>
      </c>
      <c r="G90" s="11">
        <f>E90*F90</f>
        <v/>
      </c>
      <c r="H90" s="10" t="inlineStr">
        <is>
          <t>СП-03.2</t>
        </is>
      </c>
      <c r="I90" s="10" t="inlineStr"/>
    </row>
    <row r="91">
      <c r="A91" s="10" t="inlineStr">
        <is>
          <t>Э13</t>
        </is>
      </c>
      <c r="B91" s="10" t="inlineStr">
        <is>
          <t>Э13.2</t>
        </is>
      </c>
      <c r="C91" s="10" t="inlineStr">
        <is>
          <t>Монтаж встраиваемых спотов</t>
        </is>
      </c>
      <c r="D91" s="10" t="inlineStr">
        <is>
          <t>шт</t>
        </is>
      </c>
      <c r="E91" s="10" t="n">
        <v>23</v>
      </c>
      <c r="F91" s="11" t="n">
        <v>600</v>
      </c>
      <c r="G91" s="11">
        <f>E91*F91</f>
        <v/>
      </c>
      <c r="H91" s="10" t="inlineStr">
        <is>
          <t>lights type=spot</t>
        </is>
      </c>
      <c r="I91" s="10" t="inlineStr"/>
    </row>
    <row r="92">
      <c r="A92" s="10" t="inlineStr">
        <is>
          <t>Э13</t>
        </is>
      </c>
      <c r="B92" s="10" t="inlineStr">
        <is>
          <t>Э13.3</t>
        </is>
      </c>
      <c r="C92" s="10" t="inlineStr">
        <is>
          <t>Монтаж люстр и потолочных светильников (по закладным)</t>
        </is>
      </c>
      <c r="D92" s="10" t="inlineStr">
        <is>
          <t>шт</t>
        </is>
      </c>
      <c r="E92" s="10" t="n">
        <v>3</v>
      </c>
      <c r="F92" s="11" t="n">
        <v>2500</v>
      </c>
      <c r="G92" s="11">
        <f>E92*F92</f>
        <v/>
      </c>
      <c r="H92" s="10" t="inlineStr">
        <is>
          <t>lights pendant/ceiling</t>
        </is>
      </c>
      <c r="I92" s="10" t="inlineStr"/>
    </row>
    <row r="93">
      <c r="A93" s="10" t="inlineStr">
        <is>
          <t>Э13</t>
        </is>
      </c>
      <c r="B93" s="10" t="inlineStr">
        <is>
          <t>Э13.4</t>
        </is>
      </c>
      <c r="C93" s="10" t="inlineStr">
        <is>
          <t>Монтаж бра</t>
        </is>
      </c>
      <c r="D93" s="10" t="inlineStr">
        <is>
          <t>шт</t>
        </is>
      </c>
      <c r="E93" s="10" t="n">
        <v>4</v>
      </c>
      <c r="F93" s="11" t="n">
        <v>1500</v>
      </c>
      <c r="G93" s="11">
        <f>E93*F93</f>
        <v/>
      </c>
      <c r="H93" s="10" t="inlineStr">
        <is>
          <t>lights wall</t>
        </is>
      </c>
      <c r="I93" s="10" t="inlineStr"/>
    </row>
    <row r="94">
      <c r="A94" s="10" t="inlineStr">
        <is>
          <t>Э13</t>
        </is>
      </c>
      <c r="B94" s="10" t="inlineStr">
        <is>
          <t>Э13.5</t>
        </is>
      </c>
      <c r="C94" s="10" t="inlineStr">
        <is>
          <t>Монтаж LED-лент в профилях с блоками питания</t>
        </is>
      </c>
      <c r="D94" s="10" t="inlineStr">
        <is>
          <t>м</t>
        </is>
      </c>
      <c r="E94" s="10" t="n">
        <v>23.56</v>
      </c>
      <c r="F94" s="11" t="n">
        <v>800</v>
      </c>
      <c r="G94" s="11">
        <f>E94*F94</f>
        <v/>
      </c>
      <c r="H94" s="10" t="inlineStr">
        <is>
          <t>lights led_strip pos→end</t>
        </is>
      </c>
      <c r="I94" s="10" t="inlineStr"/>
    </row>
    <row r="95">
      <c r="A95" s="10" t="inlineStr">
        <is>
          <t>Э13</t>
        </is>
      </c>
      <c r="B95" s="10" t="inlineStr">
        <is>
          <t>Э13.6</t>
        </is>
      </c>
      <c r="C95" s="10" t="inlineStr">
        <is>
          <t>Установка и подключение модулей Zigbee, терморегуляторов, конвекторов</t>
        </is>
      </c>
      <c r="D95" s="10" t="inlineStr">
        <is>
          <t>шт</t>
        </is>
      </c>
      <c r="E95" s="10" t="n">
        <v>13</v>
      </c>
      <c r="F95" s="11" t="n">
        <v>1300</v>
      </c>
      <c r="G95" s="11">
        <f>E95*F95</f>
        <v/>
      </c>
      <c r="H95" s="10" t="inlineStr">
        <is>
          <t>СП-03.2, СП-04.2</t>
        </is>
      </c>
      <c r="I95" s="10" t="inlineStr"/>
    </row>
    <row r="96">
      <c r="A96" s="10" t="inlineStr">
        <is>
          <t>Э13</t>
        </is>
      </c>
      <c r="B96" s="10" t="inlineStr">
        <is>
          <t>Э13.7</t>
        </is>
      </c>
      <c r="C96" s="10" t="inlineStr">
        <is>
          <t>Установка унитаза, ванны с экраном, тумбы с раковиной, смесителей, душевой системы, полотенцесушителя</t>
        </is>
      </c>
      <c r="D96" s="10" t="inlineStr">
        <is>
          <t>компл</t>
        </is>
      </c>
      <c r="E96" s="10" t="n">
        <v>1</v>
      </c>
      <c r="F96" s="11" t="n">
        <v>32000</v>
      </c>
      <c r="G96" s="11">
        <f>E96*F96</f>
        <v/>
      </c>
      <c r="H96" s="10" t="inlineStr">
        <is>
          <t>P01–P05; F66–F75</t>
        </is>
      </c>
      <c r="I96" s="10" t="inlineStr"/>
    </row>
    <row r="97">
      <c r="A97" s="10" t="inlineStr">
        <is>
          <t>Э13</t>
        </is>
      </c>
      <c r="B97" s="10" t="inlineStr">
        <is>
          <t>Э13.8</t>
        </is>
      </c>
      <c r="C97" s="10" t="inlineStr">
        <is>
          <t>Установка мебели ванной навесной (зеркальный шкаф, пенал, корзина)</t>
        </is>
      </c>
      <c r="D97" s="10" t="inlineStr">
        <is>
          <t>шт</t>
        </is>
      </c>
      <c r="E97" s="10" t="n">
        <v>3</v>
      </c>
      <c r="F97" s="11" t="n">
        <v>2500</v>
      </c>
      <c r="G97" s="11">
        <f>E97*F97</f>
        <v/>
      </c>
      <c r="H97" s="10" t="inlineStr">
        <is>
          <t>F72, F73, F74</t>
        </is>
      </c>
      <c r="I97" s="10" t="inlineStr"/>
    </row>
    <row r="98">
      <c r="A98" s="10" t="inlineStr">
        <is>
          <t>Э13</t>
        </is>
      </c>
      <c r="B98" s="10" t="inlineStr">
        <is>
          <t>Э13.9</t>
        </is>
      </c>
      <c r="C98" s="10" t="inlineStr">
        <is>
          <t>Монтаж стекла душа (по замеру)</t>
        </is>
      </c>
      <c r="D98" s="10" t="inlineStr">
        <is>
          <t>шт</t>
        </is>
      </c>
      <c r="E98" s="10" t="n">
        <v>1</v>
      </c>
      <c r="F98" s="11" t="n">
        <v>6000</v>
      </c>
      <c r="G98" s="11">
        <f>E98*F98</f>
        <v/>
      </c>
      <c r="H98" s="10" t="inlineStr">
        <is>
          <t>F68</t>
        </is>
      </c>
      <c r="I98" s="10" t="inlineStr"/>
    </row>
    <row r="99">
      <c r="A99" s="10" t="inlineStr">
        <is>
          <t>Э13</t>
        </is>
      </c>
      <c r="B99" s="10" t="inlineStr">
        <is>
          <t>Э13.10</t>
        </is>
      </c>
      <c r="C99" s="10" t="inlineStr">
        <is>
          <t>Установка мойки кухни, смесителя, фильтра; хозмойки; подключение ПММ, СМА, СМ</t>
        </is>
      </c>
      <c r="D99" s="10" t="inlineStr">
        <is>
          <t>компл</t>
        </is>
      </c>
      <c r="E99" s="10" t="n">
        <v>1</v>
      </c>
      <c r="F99" s="11" t="n">
        <v>14000</v>
      </c>
      <c r="G99" s="11">
        <f>E99*F99</f>
        <v/>
      </c>
      <c r="H99" s="10" t="inlineStr">
        <is>
          <t>P06–P11</t>
        </is>
      </c>
      <c r="I99" s="10" t="inlineStr"/>
    </row>
    <row r="100">
      <c r="A100" s="10" t="inlineStr">
        <is>
          <t>Э13</t>
        </is>
      </c>
      <c r="B100" s="10" t="inlineStr">
        <is>
          <t>Э13.11</t>
        </is>
      </c>
      <c r="C100" s="10" t="inlineStr">
        <is>
          <t>Монтаж бризеров и вентиляторов</t>
        </is>
      </c>
      <c r="D100" s="10" t="inlineStr">
        <is>
          <t>шт</t>
        </is>
      </c>
      <c r="E100" s="10" t="n">
        <v>4</v>
      </c>
      <c r="F100" s="11" t="n">
        <v>3500</v>
      </c>
      <c r="G100" s="11">
        <f>E100*F100</f>
        <v/>
      </c>
      <c r="H100" s="10" t="inlineStr">
        <is>
          <t>BR1, BR2, EF1, EF2</t>
        </is>
      </c>
      <c r="I100" s="10" t="inlineStr"/>
    </row>
    <row r="101">
      <c r="A101" s="10" t="inlineStr">
        <is>
          <t>Э13</t>
        </is>
      </c>
      <c r="B101" s="10" t="inlineStr">
        <is>
          <t>Э13.12</t>
        </is>
      </c>
      <c r="C101" s="10" t="inlineStr">
        <is>
          <t>Установка датчиков протечки и настройка контроллера</t>
        </is>
      </c>
      <c r="D101" s="10" t="inlineStr">
        <is>
          <t>шт</t>
        </is>
      </c>
      <c r="E101" s="10" t="n">
        <v>7</v>
      </c>
      <c r="F101" s="11" t="n">
        <v>600</v>
      </c>
      <c r="G101" s="11">
        <f>E101*F101</f>
        <v/>
      </c>
      <c r="H101" s="10" t="inlineStr">
        <is>
          <t>LS1–LS7</t>
        </is>
      </c>
      <c r="I101" s="10" t="inlineStr"/>
    </row>
    <row r="102">
      <c r="A102" s="10" t="inlineStr">
        <is>
          <t>Э13</t>
        </is>
      </c>
      <c r="B102" s="10" t="inlineStr">
        <is>
          <t>Э13.13</t>
        </is>
      </c>
      <c r="C102" s="10" t="inlineStr">
        <is>
          <t>Монтаж карнизов штор, П-карниза с приводом, навеска штор</t>
        </is>
      </c>
      <c r="D102" s="10" t="inlineStr">
        <is>
          <t>компл</t>
        </is>
      </c>
      <c r="E102" s="10" t="n">
        <v>3</v>
      </c>
      <c r="F102" s="11" t="n">
        <v>4500</v>
      </c>
      <c r="G102" s="11">
        <f>E102*F102</f>
        <v/>
      </c>
      <c r="H102" s="10" t="inlineStr">
        <is>
          <t>CN-1…CN-3; F37</t>
        </is>
      </c>
      <c r="I102" s="10" t="inlineStr"/>
    </row>
    <row r="103">
      <c r="A103" s="10" t="inlineStr">
        <is>
          <t>Э13</t>
        </is>
      </c>
      <c r="B103" s="10" t="inlineStr">
        <is>
          <t>Э13.14</t>
        </is>
      </c>
      <c r="C103" s="10" t="inlineStr">
        <is>
          <t>Монтаж экрана в нишу, проектора на кронштейн, колонок, ТВ на кронштейн, коммутация AV</t>
        </is>
      </c>
      <c r="D103" s="10" t="inlineStr">
        <is>
          <t>компл</t>
        </is>
      </c>
      <c r="E103" s="10" t="n">
        <v>1</v>
      </c>
      <c r="F103" s="11" t="n">
        <v>18000</v>
      </c>
      <c r="G103" s="11">
        <f>E103*F103</f>
        <v/>
      </c>
      <c r="H103" s="10" t="inlineStr">
        <is>
          <t>F32, F38–F40, F48</t>
        </is>
      </c>
      <c r="I103" s="10" t="inlineStr"/>
    </row>
    <row r="104">
      <c r="A104" s="10" t="inlineStr">
        <is>
          <t>Э13</t>
        </is>
      </c>
      <c r="B104" s="10" t="inlineStr">
        <is>
          <t>Э13.15</t>
        </is>
      </c>
      <c r="C104" s="10" t="inlineStr">
        <is>
          <t>Настройка умного дома: шлюз, сцены (Утро/Ужин/Кино/Вечер/Ночь/Уход), защита от протечек</t>
        </is>
      </c>
      <c r="D104" s="10" t="inlineStr">
        <is>
          <t>компл</t>
        </is>
      </c>
      <c r="E104" s="10" t="n">
        <v>1</v>
      </c>
      <c r="F104" s="11" t="n">
        <v>20000</v>
      </c>
      <c r="G104" s="11">
        <f>E104*F104</f>
        <v/>
      </c>
      <c r="H104" s="10" t="inlineStr">
        <is>
          <t>electrical.json scenes</t>
        </is>
      </c>
      <c r="I104" s="10" t="inlineStr"/>
    </row>
    <row r="105">
      <c r="A105" s="10" t="inlineStr">
        <is>
          <t>Э13</t>
        </is>
      </c>
      <c r="B105" s="10" t="inlineStr">
        <is>
          <t>Э13.16</t>
        </is>
      </c>
      <c r="C105" s="10" t="inlineStr">
        <is>
          <t>Финишная клининговая уборка</t>
        </is>
      </c>
      <c r="D105" s="10" t="inlineStr">
        <is>
          <t>м²</t>
        </is>
      </c>
      <c r="E105" s="10" t="n">
        <v>68.5</v>
      </c>
      <c r="F105" s="11" t="n">
        <v>220</v>
      </c>
      <c r="G105" s="11">
        <f>E105*F105</f>
        <v/>
      </c>
      <c r="H105" s="10" t="inlineStr">
        <is>
          <t>planning areas</t>
        </is>
      </c>
      <c r="I105" s="10" t="inlineStr"/>
    </row>
    <row r="106">
      <c r="A106" s="10" t="inlineStr">
        <is>
          <t>Э14</t>
        </is>
      </c>
      <c r="B106" s="10" t="inlineStr">
        <is>
          <t>Э14.1</t>
        </is>
      </c>
      <c r="C106" s="10" t="inlineStr">
        <is>
          <t>Вывоз строительного мусора контейнером 8 м³ (норматив 1 конт. на 25 м²)</t>
        </is>
      </c>
      <c r="D106" s="10" t="inlineStr">
        <is>
          <t>конт.</t>
        </is>
      </c>
      <c r="E106" s="10" t="n">
        <v>3</v>
      </c>
      <c r="F106" s="11" t="n">
        <v>12000</v>
      </c>
      <c r="G106" s="11">
        <f>E106*F106</f>
        <v/>
      </c>
      <c r="H106" s="10" t="inlineStr">
        <is>
          <t>planning areas</t>
        </is>
      </c>
      <c r="I106" s="10" t="inlineStr">
        <is>
          <t>68.5/25</t>
        </is>
      </c>
    </row>
    <row r="107">
      <c r="A107" s="10" t="inlineStr">
        <is>
          <t>Э14</t>
        </is>
      </c>
      <c r="B107" s="10" t="inlineStr">
        <is>
          <t>Э14.2</t>
        </is>
      </c>
      <c r="C107" s="10" t="inlineStr">
        <is>
          <t>Погрузка мусора, разгрузка и занос материалов (1 этаж)</t>
        </is>
      </c>
      <c r="D107" s="10" t="inlineStr">
        <is>
          <t>компл</t>
        </is>
      </c>
      <c r="E107" s="10" t="n">
        <v>1</v>
      </c>
      <c r="F107" s="11" t="n">
        <v>18000</v>
      </c>
      <c r="G107" s="11">
        <f>E107*F107</f>
        <v/>
      </c>
      <c r="H107" s="10" t="inlineStr">
        <is>
          <t>brief: этаж 1/4</t>
        </is>
      </c>
      <c r="I107" s="10" t="inlineStr"/>
    </row>
    <row r="108">
      <c r="A108" s="10" t="inlineStr">
        <is>
          <t>Э14</t>
        </is>
      </c>
      <c r="B108" s="10" t="inlineStr">
        <is>
          <t>Э14.3</t>
        </is>
      </c>
      <c r="C108" s="10" t="inlineStr">
        <is>
          <t>Промежуточные уборки по этапам</t>
        </is>
      </c>
      <c r="D108" s="10" t="inlineStr">
        <is>
          <t>компл</t>
        </is>
      </c>
      <c r="E108" s="10" t="n">
        <v>1</v>
      </c>
      <c r="F108" s="11" t="n">
        <v>15000</v>
      </c>
      <c r="G108" s="11">
        <f>E108*F108</f>
        <v/>
      </c>
      <c r="H108" s="10" t="inlineStr">
        <is>
          <t>—</t>
        </is>
      </c>
      <c r="I108" s="10" t="inlineStr"/>
    </row>
    <row r="109">
      <c r="C109" s="6" t="inlineStr">
        <is>
          <t>Итого работы</t>
        </is>
      </c>
      <c r="G109" s="4">
        <f>SUM(G2:G108)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6" customWidth="1" min="3" max="3"/>
    <col width="60" customWidth="1" min="4" max="4"/>
    <col width="10" customWidth="1" min="5" max="5"/>
    <col width="9" customWidth="1" min="6" max="6"/>
    <col width="12" customWidth="1" min="7" max="7"/>
    <col width="14" customWidth="1" min="8" max="8"/>
    <col width="12" customWidth="1" min="9" max="9"/>
    <col width="38" customWidth="1" min="10" max="10"/>
  </cols>
  <sheetData>
    <row r="1">
      <c r="A1" s="3" t="inlineStr">
        <is>
          <t>Этап</t>
        </is>
      </c>
      <c r="B1" s="3" t="inlineStr">
        <is>
          <t>Спецификация</t>
        </is>
      </c>
      <c r="C1" s="3" t="inlineStr">
        <is>
          <t>Поз.</t>
        </is>
      </c>
      <c r="D1" s="3" t="inlineStr">
        <is>
          <t>Наименование</t>
        </is>
      </c>
      <c r="E1" s="3" t="inlineStr">
        <is>
          <t>Кол-во</t>
        </is>
      </c>
      <c r="F1" s="3" t="inlineStr">
        <is>
          <t>Ед.</t>
        </is>
      </c>
      <c r="G1" s="3" t="inlineStr">
        <is>
          <t>Цена, ₽</t>
        </is>
      </c>
      <c r="H1" s="3" t="inlineStr">
        <is>
          <t>Сумма, ₽</t>
        </is>
      </c>
      <c r="I1" s="3" t="inlineStr">
        <is>
          <t>Помещение</t>
        </is>
      </c>
      <c r="J1" s="3" t="inlineStr">
        <is>
          <t>Ссылка (лист / id)</t>
        </is>
      </c>
    </row>
    <row r="2">
      <c r="A2" s="10" t="inlineStr">
        <is>
          <t>Э10</t>
        </is>
      </c>
      <c r="B2" s="10" t="inlineStr">
        <is>
          <t>СП-02.1</t>
        </is>
      </c>
      <c r="C2" s="10" t="n">
        <v>1</v>
      </c>
      <c r="D2" s="10" t="inlineStr">
        <is>
          <t>Буазери стены-изголовья W2 2,9×2,7 м: МДФ 16–19, рамки 25–40, центральная филёнка 1860×1600 съёмная, эмаль C3</t>
        </is>
      </c>
      <c r="E2" s="10" t="n">
        <v>1</v>
      </c>
      <c r="F2" s="10" t="inlineStr">
        <is>
          <t>компл</t>
        </is>
      </c>
      <c r="G2" s="11" t="n">
        <v>95000</v>
      </c>
      <c r="H2" s="11">
        <f>E2*G2</f>
        <v/>
      </c>
      <c r="I2" s="10" t="inlineStr">
        <is>
          <t>R1</t>
        </is>
      </c>
      <c r="J2" s="10" t="inlineStr">
        <is>
          <t>F41; АР-15; M06; узел 8</t>
        </is>
      </c>
    </row>
    <row r="3">
      <c r="A3" s="10" t="inlineStr">
        <is>
          <t>Э13</t>
        </is>
      </c>
      <c r="B3" s="10" t="inlineStr">
        <is>
          <t>СП-02.1</t>
        </is>
      </c>
      <c r="C3" s="10" t="n">
        <v>2</v>
      </c>
      <c r="D3" s="10" t="inlineStr">
        <is>
          <t>Шкаф-купе Г 2480+745×600 до потолка: корпус ЛДСП E1, двери — рамочный профиль + вставки МДФ эмаль C3 с накладной филёнкой, верхний подвес</t>
        </is>
      </c>
      <c r="E3" s="10" t="n">
        <v>1</v>
      </c>
      <c r="F3" s="10" t="inlineStr">
        <is>
          <t>компл</t>
        </is>
      </c>
      <c r="G3" s="11" t="n">
        <v>215000</v>
      </c>
      <c r="H3" s="11">
        <f>E3*G3</f>
        <v/>
      </c>
      <c r="I3" s="10" t="inlineStr">
        <is>
          <t>R1</t>
        </is>
      </c>
      <c r="J3" s="10" t="inlineStr">
        <is>
          <t>F45, F46; M07</t>
        </is>
      </c>
    </row>
    <row r="4">
      <c r="A4" s="10" t="inlineStr">
        <is>
          <t>Э13</t>
        </is>
      </c>
      <c r="B4" s="10" t="inlineStr">
        <is>
          <t>СП-02.1</t>
        </is>
      </c>
      <c r="C4" s="10" t="n">
        <v>3</v>
      </c>
      <c r="D4" s="10" t="inlineStr">
        <is>
          <t>Шкаф прихожей 2720×600×2650: 3 секции по 900, 6 распашных фасадов МДФ эмаль C2 с рамкой-филёнкой, дверь-зеркало, ниша робота</t>
        </is>
      </c>
      <c r="E4" s="10" t="n">
        <v>1</v>
      </c>
      <c r="F4" s="10" t="inlineStr">
        <is>
          <t>компл</t>
        </is>
      </c>
      <c r="G4" s="11" t="n">
        <v>195000</v>
      </c>
      <c r="H4" s="11">
        <f>E4*G4</f>
        <v/>
      </c>
      <c r="I4" s="10" t="inlineStr">
        <is>
          <t>R4</t>
        </is>
      </c>
      <c r="J4" s="10" t="inlineStr">
        <is>
          <t>F60, F61, F62; M17; АР-12</t>
        </is>
      </c>
    </row>
    <row r="5">
      <c r="A5" s="10" t="inlineStr">
        <is>
          <t>Э13</t>
        </is>
      </c>
      <c r="B5" s="10" t="inlineStr">
        <is>
          <t>СП-02.1</t>
        </is>
      </c>
      <c r="C5" s="10" t="n">
        <v>4</v>
      </c>
      <c r="D5" s="10" t="inlineStr">
        <is>
          <t>Системы хранения постирочной: тумба хозмойки 450, карго 300, столешница компакт-плита 12 мм 770×600, навесные 350, пенал 540, антресоль 650, шкафы 350 у W10 (фасады от пола без дна над U11)</t>
        </is>
      </c>
      <c r="E5" s="10" t="n">
        <v>1</v>
      </c>
      <c r="F5" s="10" t="inlineStr">
        <is>
          <t>компл</t>
        </is>
      </c>
      <c r="G5" s="11" t="n">
        <v>115000</v>
      </c>
      <c r="H5" s="11">
        <f>E5*G5</f>
        <v/>
      </c>
      <c r="I5" s="10" t="inlineStr">
        <is>
          <t>R6</t>
        </is>
      </c>
      <c r="J5" s="10" t="inlineStr">
        <is>
          <t>F78, F79, F83, F84, F85, F86, F87, F88; M26; АР-14</t>
        </is>
      </c>
    </row>
    <row r="6">
      <c r="A6" s="10" t="inlineStr">
        <is>
          <t>Э13</t>
        </is>
      </c>
      <c r="B6" s="10" t="inlineStr">
        <is>
          <t>СП-02.1</t>
        </is>
      </c>
      <c r="C6" s="10" t="n">
        <v>5</v>
      </c>
      <c r="D6" s="10" t="inlineStr">
        <is>
          <t>Сушилка потолочная «лиана» 4 прутка</t>
        </is>
      </c>
      <c r="E6" s="10" t="n">
        <v>1</v>
      </c>
      <c r="F6" s="10" t="inlineStr">
        <is>
          <t>шт</t>
        </is>
      </c>
      <c r="G6" s="11" t="n">
        <v>4500</v>
      </c>
      <c r="H6" s="11">
        <f>E6*G6</f>
        <v/>
      </c>
      <c r="I6" s="10" t="inlineStr">
        <is>
          <t>R6</t>
        </is>
      </c>
      <c r="J6" s="10" t="inlineStr">
        <is>
          <t>F89</t>
        </is>
      </c>
    </row>
    <row r="7">
      <c r="A7" s="10" t="inlineStr">
        <is>
          <t>Э13</t>
        </is>
      </c>
      <c r="B7" s="10" t="inlineStr">
        <is>
          <t>СП-03.1</t>
        </is>
      </c>
      <c r="C7" s="10" t="n">
        <v>1</v>
      </c>
      <c r="D7" s="10" t="inlineStr">
        <is>
          <t>Спот встраиваемый LED 7 Вт, 2700 K, CRI ≥ 90, диммируемый, глубина ≤ 80 — группа L2</t>
        </is>
      </c>
      <c r="E7" s="10" t="n">
        <v>4</v>
      </c>
      <c r="F7" s="10" t="inlineStr">
        <is>
          <t>шт</t>
        </is>
      </c>
      <c r="G7" s="11" t="n">
        <v>2700</v>
      </c>
      <c r="H7" s="11">
        <f>E7*G7</f>
        <v/>
      </c>
      <c r="I7" s="10" t="inlineStr">
        <is>
          <t>R3</t>
        </is>
      </c>
      <c r="J7" s="10" t="inlineStr">
        <is>
          <t>L2-1, L2-2, L2-3, L2-4; ЭО-01</t>
        </is>
      </c>
    </row>
    <row r="8">
      <c r="A8" s="10" t="inlineStr">
        <is>
          <t>Э13</t>
        </is>
      </c>
      <c r="B8" s="10" t="inlineStr">
        <is>
          <t>СП-03.1</t>
        </is>
      </c>
      <c r="C8" s="10" t="n">
        <v>2</v>
      </c>
      <c r="D8" s="10" t="inlineStr">
        <is>
          <t>Люстра столовой 5–6 рожков LED, латунь сатин/ткань, диммируемая — группа L3</t>
        </is>
      </c>
      <c r="E8" s="10" t="n">
        <v>1</v>
      </c>
      <c r="F8" s="10" t="inlineStr">
        <is>
          <t>шт</t>
        </is>
      </c>
      <c r="G8" s="11" t="n">
        <v>32000</v>
      </c>
      <c r="H8" s="11">
        <f>E8*G8</f>
        <v/>
      </c>
      <c r="I8" s="10" t="inlineStr">
        <is>
          <t>R3</t>
        </is>
      </c>
      <c r="J8" s="10" t="inlineStr">
        <is>
          <t>L3-1; ЭО-01</t>
        </is>
      </c>
    </row>
    <row r="9">
      <c r="A9" s="10" t="inlineStr">
        <is>
          <t>Э13</t>
        </is>
      </c>
      <c r="B9" s="10" t="inlineStr">
        <is>
          <t>СП-03.1</t>
        </is>
      </c>
      <c r="C9" s="10" t="n">
        <v>3</v>
      </c>
      <c r="D9" s="10" t="inlineStr">
        <is>
          <t>Бра латунь сатин C8 с абажуром — группа L4</t>
        </is>
      </c>
      <c r="E9" s="10" t="n">
        <v>2</v>
      </c>
      <c r="F9" s="10" t="inlineStr">
        <is>
          <t>шт</t>
        </is>
      </c>
      <c r="G9" s="11" t="n">
        <v>9500</v>
      </c>
      <c r="H9" s="11">
        <f>E9*G9</f>
        <v/>
      </c>
      <c r="I9" s="10" t="inlineStr">
        <is>
          <t>R3</t>
        </is>
      </c>
      <c r="J9" s="10" t="inlineStr">
        <is>
          <t>L4-1, L4-2; ЭО-01</t>
        </is>
      </c>
    </row>
    <row r="10">
      <c r="A10" s="10" t="inlineStr">
        <is>
          <t>Э13</t>
        </is>
      </c>
      <c r="B10" s="10" t="inlineStr">
        <is>
          <t>СП-03.1</t>
        </is>
      </c>
      <c r="C10" s="10" t="n">
        <v>4</v>
      </c>
      <c r="D10" s="10" t="inlineStr">
        <is>
          <t>Спот встраиваемый LED 7 Вт, 2700 K, CRI ≥ 90, диммируемый, глубина ≤ 80 — группа L6</t>
        </is>
      </c>
      <c r="E10" s="10" t="n">
        <v>4</v>
      </c>
      <c r="F10" s="10" t="inlineStr">
        <is>
          <t>шт</t>
        </is>
      </c>
      <c r="G10" s="11" t="n">
        <v>2700</v>
      </c>
      <c r="H10" s="11">
        <f>E10*G10</f>
        <v/>
      </c>
      <c r="I10" s="10" t="inlineStr">
        <is>
          <t>R7</t>
        </is>
      </c>
      <c r="J10" s="10" t="inlineStr">
        <is>
          <t>L6-1, L6-2, L6-3, L6-4; ЭО-01</t>
        </is>
      </c>
    </row>
    <row r="11">
      <c r="A11" s="10" t="inlineStr">
        <is>
          <t>Э13</t>
        </is>
      </c>
      <c r="B11" s="10" t="inlineStr">
        <is>
          <t>СП-03.1</t>
        </is>
      </c>
      <c r="C11" s="10" t="n">
        <v>5</v>
      </c>
      <c r="D11" s="10" t="inlineStr">
        <is>
          <t>Люстра спальни, диммируемая, латунь/ткань — группа L8</t>
        </is>
      </c>
      <c r="E11" s="10" t="n">
        <v>1</v>
      </c>
      <c r="F11" s="10" t="inlineStr">
        <is>
          <t>шт</t>
        </is>
      </c>
      <c r="G11" s="11" t="n">
        <v>24000</v>
      </c>
      <c r="H11" s="11">
        <f>E11*G11</f>
        <v/>
      </c>
      <c r="I11" s="10" t="inlineStr">
        <is>
          <t>R1</t>
        </is>
      </c>
      <c r="J11" s="10" t="inlineStr">
        <is>
          <t>L8-1; ЭО-01</t>
        </is>
      </c>
    </row>
    <row r="12">
      <c r="A12" s="10" t="inlineStr">
        <is>
          <t>Э13</t>
        </is>
      </c>
      <c r="B12" s="10" t="inlineStr">
        <is>
          <t>СП-03.1</t>
        </is>
      </c>
      <c r="C12" s="10" t="n">
        <v>6</v>
      </c>
      <c r="D12" s="10" t="inlineStr">
        <is>
          <t>Бра латунь сатин C8 с абажуром — группа L11</t>
        </is>
      </c>
      <c r="E12" s="10" t="n">
        <v>2</v>
      </c>
      <c r="F12" s="10" t="inlineStr">
        <is>
          <t>шт</t>
        </is>
      </c>
      <c r="G12" s="11" t="n">
        <v>9500</v>
      </c>
      <c r="H12" s="11">
        <f>E12*G12</f>
        <v/>
      </c>
      <c r="I12" s="10" t="inlineStr">
        <is>
          <t>R1</t>
        </is>
      </c>
      <c r="J12" s="10" t="inlineStr">
        <is>
          <t>L11-1, L11-2; F41; ЭО-01</t>
        </is>
      </c>
    </row>
    <row r="13">
      <c r="A13" s="10" t="inlineStr">
        <is>
          <t>Э13</t>
        </is>
      </c>
      <c r="B13" s="10" t="inlineStr">
        <is>
          <t>СП-03.1</t>
        </is>
      </c>
      <c r="C13" s="10" t="n">
        <v>7</v>
      </c>
      <c r="D13" s="10" t="inlineStr">
        <is>
          <t>Светильник потолочный рассеянный детской, диммируемый — группа L14</t>
        </is>
      </c>
      <c r="E13" s="10" t="n">
        <v>1</v>
      </c>
      <c r="F13" s="10" t="inlineStr">
        <is>
          <t>шт</t>
        </is>
      </c>
      <c r="G13" s="11" t="n">
        <v>14000</v>
      </c>
      <c r="H13" s="11">
        <f>E13*G13</f>
        <v/>
      </c>
      <c r="I13" s="10" t="inlineStr">
        <is>
          <t>R2</t>
        </is>
      </c>
      <c r="J13" s="10" t="inlineStr">
        <is>
          <t>L14-1; ЭО-01</t>
        </is>
      </c>
    </row>
    <row r="14">
      <c r="A14" s="10" t="inlineStr">
        <is>
          <t>Э13</t>
        </is>
      </c>
      <c r="B14" s="10" t="inlineStr">
        <is>
          <t>СП-03.1</t>
        </is>
      </c>
      <c r="C14" s="10" t="n">
        <v>8</v>
      </c>
      <c r="D14" s="10" t="inlineStr">
        <is>
          <t>Спот встраиваемый LED 7 Вт, 2700 K, CRI ≥ 90, диммируемый, глубина ≤ 80 — группа L15</t>
        </is>
      </c>
      <c r="E14" s="10" t="n">
        <v>5</v>
      </c>
      <c r="F14" s="10" t="inlineStr">
        <is>
          <t>шт</t>
        </is>
      </c>
      <c r="G14" s="11" t="n">
        <v>2700</v>
      </c>
      <c r="H14" s="11">
        <f>E14*G14</f>
        <v/>
      </c>
      <c r="I14" s="10" t="inlineStr">
        <is>
          <t>R4</t>
        </is>
      </c>
      <c r="J14" s="10" t="inlineStr">
        <is>
          <t>L15-1, L15-2, L15-3, L15-4, L15-5; ЭО-01</t>
        </is>
      </c>
    </row>
    <row r="15">
      <c r="A15" s="10" t="inlineStr">
        <is>
          <t>Э13</t>
        </is>
      </c>
      <c r="B15" s="10" t="inlineStr">
        <is>
          <t>СП-03.1</t>
        </is>
      </c>
      <c r="C15" s="10" t="n">
        <v>9</v>
      </c>
      <c r="D15" s="10" t="inlineStr">
        <is>
          <t>Спот встраиваемый LED 7 Вт, 2700 K, CRI ≥ 90, диммируемый, глубина ≤ 80 — группа L16</t>
        </is>
      </c>
      <c r="E15" s="10" t="n">
        <v>3</v>
      </c>
      <c r="F15" s="10" t="inlineStr">
        <is>
          <t>шт</t>
        </is>
      </c>
      <c r="G15" s="11" t="n">
        <v>2700</v>
      </c>
      <c r="H15" s="11">
        <f>E15*G15</f>
        <v/>
      </c>
      <c r="I15" s="10" t="inlineStr">
        <is>
          <t>R4</t>
        </is>
      </c>
      <c r="J15" s="10" t="inlineStr">
        <is>
          <t>L16-1, L16-2, L16-3; ЭО-01</t>
        </is>
      </c>
    </row>
    <row r="16">
      <c r="A16" s="10" t="inlineStr">
        <is>
          <t>Э13</t>
        </is>
      </c>
      <c r="B16" s="10" t="inlineStr">
        <is>
          <t>СП-03.1</t>
        </is>
      </c>
      <c r="C16" s="10" t="n">
        <v>10</v>
      </c>
      <c r="D16" s="10" t="inlineStr">
        <is>
          <t>Спот встраиваемый LED IP44, 3000 K, CRI ≥ 90 — группа L19</t>
        </is>
      </c>
      <c r="E16" s="10" t="n">
        <v>2</v>
      </c>
      <c r="F16" s="10" t="inlineStr">
        <is>
          <t>шт</t>
        </is>
      </c>
      <c r="G16" s="11" t="n">
        <v>3600</v>
      </c>
      <c r="H16" s="11">
        <f>E16*G16</f>
        <v/>
      </c>
      <c r="I16" s="10" t="inlineStr">
        <is>
          <t>R5</t>
        </is>
      </c>
      <c r="J16" s="10" t="inlineStr">
        <is>
          <t>L19-1, L19-2; ЭО-01</t>
        </is>
      </c>
    </row>
    <row r="17">
      <c r="A17" s="10" t="inlineStr">
        <is>
          <t>Э13</t>
        </is>
      </c>
      <c r="B17" s="10" t="inlineStr">
        <is>
          <t>СП-03.1</t>
        </is>
      </c>
      <c r="C17" s="10" t="n">
        <v>11</v>
      </c>
      <c r="D17" s="10" t="inlineStr">
        <is>
          <t>Спот встраиваемый LED IP65 (над ванной/душем), 3000 K — группа L19</t>
        </is>
      </c>
      <c r="E17" s="10" t="n">
        <v>2</v>
      </c>
      <c r="F17" s="10" t="inlineStr">
        <is>
          <t>шт</t>
        </is>
      </c>
      <c r="G17" s="11" t="n">
        <v>4300</v>
      </c>
      <c r="H17" s="11">
        <f>E17*G17</f>
        <v/>
      </c>
      <c r="I17" s="10" t="inlineStr">
        <is>
          <t>R5</t>
        </is>
      </c>
      <c r="J17" s="10" t="inlineStr">
        <is>
          <t>L19-3, L19-4; ЭО-01</t>
        </is>
      </c>
    </row>
    <row r="18">
      <c r="A18" s="10" t="inlineStr">
        <is>
          <t>Э13</t>
        </is>
      </c>
      <c r="B18" s="10" t="inlineStr">
        <is>
          <t>СП-03.1</t>
        </is>
      </c>
      <c r="C18" s="10" t="n">
        <v>12</v>
      </c>
      <c r="D18" s="10" t="inlineStr">
        <is>
          <t>LED зеркального шкафа (в составе F72) — группа L20</t>
        </is>
      </c>
      <c r="E18" s="10" t="n">
        <v>1</v>
      </c>
      <c r="F18" s="10" t="inlineStr">
        <is>
          <t>шт</t>
        </is>
      </c>
      <c r="G18" s="11" t="n">
        <v>0</v>
      </c>
      <c r="H18" s="11">
        <f>E18*G18</f>
        <v/>
      </c>
      <c r="I18" s="10" t="inlineStr">
        <is>
          <t>R5</t>
        </is>
      </c>
      <c r="J18" s="10" t="inlineStr">
        <is>
          <t>L20-1; F72; ЭО-01</t>
        </is>
      </c>
    </row>
    <row r="19">
      <c r="A19" s="10" t="inlineStr">
        <is>
          <t>Э13</t>
        </is>
      </c>
      <c r="B19" s="10" t="inlineStr">
        <is>
          <t>СП-03.1</t>
        </is>
      </c>
      <c r="C19" s="10" t="n">
        <v>13</v>
      </c>
      <c r="D19" s="10" t="inlineStr">
        <is>
          <t>Спот встраиваемый LED IP44, 3000 K, CRI ≥ 90 — группа L22</t>
        </is>
      </c>
      <c r="E19" s="10" t="n">
        <v>3</v>
      </c>
      <c r="F19" s="10" t="inlineStr">
        <is>
          <t>шт</t>
        </is>
      </c>
      <c r="G19" s="11" t="n">
        <v>3600</v>
      </c>
      <c r="H19" s="11">
        <f>E19*G19</f>
        <v/>
      </c>
      <c r="I19" s="10" t="inlineStr">
        <is>
          <t>R6</t>
        </is>
      </c>
      <c r="J19" s="10" t="inlineStr">
        <is>
          <t>L22-1, L22-2, L22-3; ЭО-01</t>
        </is>
      </c>
    </row>
    <row r="20">
      <c r="A20" s="10" t="inlineStr">
        <is>
          <t>Э13</t>
        </is>
      </c>
      <c r="B20" s="10" t="inlineStr">
        <is>
          <t>СП-03.1</t>
        </is>
      </c>
      <c r="C20" s="10" t="n">
        <v>14</v>
      </c>
      <c r="D20" s="10" t="inlineStr">
        <is>
          <t>Лента LED 24 В 2700 K CRI ≥ 90 — подсветка рабочей зоны под KW-01..05</t>
        </is>
      </c>
      <c r="E20" s="10" t="n">
        <v>3.5</v>
      </c>
      <c r="F20" s="10" t="inlineStr">
        <is>
          <t>м</t>
        </is>
      </c>
      <c r="G20" s="11" t="n">
        <v>1300</v>
      </c>
      <c r="H20" s="11">
        <f>E20*G20</f>
        <v/>
      </c>
      <c r="I20" s="10" t="inlineStr">
        <is>
          <t>R3</t>
        </is>
      </c>
      <c r="J20" s="10" t="inlineStr">
        <is>
          <t>L1-1; F10; F23; ЭО-01</t>
        </is>
      </c>
    </row>
    <row r="21">
      <c r="A21" s="10" t="inlineStr">
        <is>
          <t>Э13</t>
        </is>
      </c>
      <c r="B21" s="10" t="inlineStr">
        <is>
          <t>СП-03.1</t>
        </is>
      </c>
      <c r="C21" s="10" t="n">
        <v>15</v>
      </c>
      <c r="D21" s="10" t="inlineStr">
        <is>
          <t>Профиль алюминиевый с рассеивателем для L1-1</t>
        </is>
      </c>
      <c r="E21" s="10" t="n">
        <v>3</v>
      </c>
      <c r="F21" s="10" t="inlineStr">
        <is>
          <t>м</t>
        </is>
      </c>
      <c r="G21" s="11" t="n">
        <v>900</v>
      </c>
      <c r="H21" s="11">
        <f>E21*G21</f>
        <v/>
      </c>
      <c r="I21" s="10" t="inlineStr">
        <is>
          <t>R3</t>
        </is>
      </c>
      <c r="J21" s="10" t="inlineStr">
        <is>
          <t>L1-1</t>
        </is>
      </c>
    </row>
    <row r="22">
      <c r="A22" s="10" t="inlineStr">
        <is>
          <t>Э13</t>
        </is>
      </c>
      <c r="B22" s="10" t="inlineStr">
        <is>
          <t>СП-03.1</t>
        </is>
      </c>
      <c r="C22" s="10" t="n">
        <v>16</v>
      </c>
      <c r="D22" s="10" t="inlineStr">
        <is>
          <t>Блок питания 24 В 100 Вт для L1-1</t>
        </is>
      </c>
      <c r="E22" s="10" t="n">
        <v>1</v>
      </c>
      <c r="F22" s="10" t="inlineStr">
        <is>
          <t>шт</t>
        </is>
      </c>
      <c r="G22" s="11" t="n">
        <v>3000</v>
      </c>
      <c r="H22" s="11">
        <f>E22*G22</f>
        <v/>
      </c>
      <c r="I22" s="10" t="inlineStr">
        <is>
          <t>R3</t>
        </is>
      </c>
      <c r="J22" s="10" t="inlineStr">
        <is>
          <t>L1-1</t>
        </is>
      </c>
    </row>
    <row r="23">
      <c r="A23" s="10" t="inlineStr">
        <is>
          <t>Э13</t>
        </is>
      </c>
      <c r="B23" s="10" t="inlineStr">
        <is>
          <t>СП-03.1</t>
        </is>
      </c>
      <c r="C23" s="10" t="n">
        <v>17</v>
      </c>
      <c r="D23" s="10" t="inlineStr">
        <is>
          <t>Лента LED 24 В 2700 K CRI ≥ 90 — LED остеклённого яруса буфета F24</t>
        </is>
      </c>
      <c r="E23" s="10" t="n">
        <v>1</v>
      </c>
      <c r="F23" s="10" t="inlineStr">
        <is>
          <t>м</t>
        </is>
      </c>
      <c r="G23" s="11" t="n">
        <v>1300</v>
      </c>
      <c r="H23" s="11">
        <f>E23*G23</f>
        <v/>
      </c>
      <c r="I23" s="10" t="inlineStr">
        <is>
          <t>R3</t>
        </is>
      </c>
      <c r="J23" s="10" t="inlineStr">
        <is>
          <t>L4-3; F24; ЭО-01</t>
        </is>
      </c>
    </row>
    <row r="24">
      <c r="A24" s="10" t="inlineStr">
        <is>
          <t>Э13</t>
        </is>
      </c>
      <c r="B24" s="10" t="inlineStr">
        <is>
          <t>СП-03.1</t>
        </is>
      </c>
      <c r="C24" s="10" t="n">
        <v>18</v>
      </c>
      <c r="D24" s="10" t="inlineStr">
        <is>
          <t>Профиль алюминиевый с рассеивателем для L4-3</t>
        </is>
      </c>
      <c r="E24" s="10" t="n">
        <v>1</v>
      </c>
      <c r="F24" s="10" t="inlineStr">
        <is>
          <t>м</t>
        </is>
      </c>
      <c r="G24" s="11" t="n">
        <v>900</v>
      </c>
      <c r="H24" s="11">
        <f>E24*G24</f>
        <v/>
      </c>
      <c r="I24" s="10" t="inlineStr">
        <is>
          <t>R3</t>
        </is>
      </c>
      <c r="J24" s="10" t="inlineStr">
        <is>
          <t>L4-3</t>
        </is>
      </c>
    </row>
    <row r="25">
      <c r="A25" s="10" t="inlineStr">
        <is>
          <t>Э13</t>
        </is>
      </c>
      <c r="B25" s="10" t="inlineStr">
        <is>
          <t>СП-03.1</t>
        </is>
      </c>
      <c r="C25" s="10" t="n">
        <v>19</v>
      </c>
      <c r="D25" s="10" t="inlineStr">
        <is>
          <t>Блок питания 24 В 30 Вт для L4-3</t>
        </is>
      </c>
      <c r="E25" s="10" t="n">
        <v>1</v>
      </c>
      <c r="F25" s="10" t="inlineStr">
        <is>
          <t>шт</t>
        </is>
      </c>
      <c r="G25" s="11" t="n">
        <v>1500</v>
      </c>
      <c r="H25" s="11">
        <f>E25*G25</f>
        <v/>
      </c>
      <c r="I25" s="10" t="inlineStr">
        <is>
          <t>R3</t>
        </is>
      </c>
      <c r="J25" s="10" t="inlineStr">
        <is>
          <t>L4-3</t>
        </is>
      </c>
    </row>
    <row r="26">
      <c r="A26" s="10" t="inlineStr">
        <is>
          <t>Э13</t>
        </is>
      </c>
      <c r="B26" s="10" t="inlineStr">
        <is>
          <t>СП-03.1</t>
        </is>
      </c>
      <c r="C26" s="10" t="n">
        <v>20</v>
      </c>
      <c r="D26" s="10" t="inlineStr">
        <is>
          <t xml:space="preserve">Лента LED 24 В 2700 K CRI ≥ 90 — подсветка цоколя кухни 2700K </t>
        </is>
      </c>
      <c r="E26" s="10" t="n">
        <v>3.5</v>
      </c>
      <c r="F26" s="10" t="inlineStr">
        <is>
          <t>м</t>
        </is>
      </c>
      <c r="G26" s="11" t="n">
        <v>1300</v>
      </c>
      <c r="H26" s="11">
        <f>E26*G26</f>
        <v/>
      </c>
      <c r="I26" s="10" t="inlineStr">
        <is>
          <t>R3</t>
        </is>
      </c>
      <c r="J26" s="10" t="inlineStr">
        <is>
          <t>L5-1; ЭО-01</t>
        </is>
      </c>
    </row>
    <row r="27">
      <c r="A27" s="10" t="inlineStr">
        <is>
          <t>Э13</t>
        </is>
      </c>
      <c r="B27" s="10" t="inlineStr">
        <is>
          <t>СП-03.1</t>
        </is>
      </c>
      <c r="C27" s="10" t="n">
        <v>21</v>
      </c>
      <c r="D27" s="10" t="inlineStr">
        <is>
          <t>Профиль алюминиевый с рассеивателем для L5-1</t>
        </is>
      </c>
      <c r="E27" s="10" t="n">
        <v>3</v>
      </c>
      <c r="F27" s="10" t="inlineStr">
        <is>
          <t>м</t>
        </is>
      </c>
      <c r="G27" s="11" t="n">
        <v>900</v>
      </c>
      <c r="H27" s="11">
        <f>E27*G27</f>
        <v/>
      </c>
      <c r="I27" s="10" t="inlineStr">
        <is>
          <t>R3</t>
        </is>
      </c>
      <c r="J27" s="10" t="inlineStr">
        <is>
          <t>L5-1</t>
        </is>
      </c>
    </row>
    <row r="28">
      <c r="A28" s="10" t="inlineStr">
        <is>
          <t>Э13</t>
        </is>
      </c>
      <c r="B28" s="10" t="inlineStr">
        <is>
          <t>СП-03.1</t>
        </is>
      </c>
      <c r="C28" s="10" t="n">
        <v>22</v>
      </c>
      <c r="D28" s="10" t="inlineStr">
        <is>
          <t>Блок питания 24 В 30 Вт для L5-1</t>
        </is>
      </c>
      <c r="E28" s="10" t="n">
        <v>1</v>
      </c>
      <c r="F28" s="10" t="inlineStr">
        <is>
          <t>шт</t>
        </is>
      </c>
      <c r="G28" s="11" t="n">
        <v>1500</v>
      </c>
      <c r="H28" s="11">
        <f>E28*G28</f>
        <v/>
      </c>
      <c r="I28" s="10" t="inlineStr">
        <is>
          <t>R3</t>
        </is>
      </c>
      <c r="J28" s="10" t="inlineStr">
        <is>
          <t>L5-1</t>
        </is>
      </c>
    </row>
    <row r="29">
      <c r="A29" s="10" t="inlineStr">
        <is>
          <t>Э13</t>
        </is>
      </c>
      <c r="B29" s="10" t="inlineStr">
        <is>
          <t>СП-03.1</t>
        </is>
      </c>
      <c r="C29" s="10" t="n">
        <v>23</v>
      </c>
      <c r="D29" s="10" t="inlineStr">
        <is>
          <t xml:space="preserve">Лента LED 24 В 2700 K CRI ≥ 90 — подсветка цоколя П-дивана 24 В 2700K </t>
        </is>
      </c>
      <c r="E29" s="10" t="n">
        <v>2</v>
      </c>
      <c r="F29" s="10" t="inlineStr">
        <is>
          <t>м</t>
        </is>
      </c>
      <c r="G29" s="11" t="n">
        <v>1300</v>
      </c>
      <c r="H29" s="11">
        <f>E29*G29</f>
        <v/>
      </c>
      <c r="I29" s="10" t="inlineStr">
        <is>
          <t>R7</t>
        </is>
      </c>
      <c r="J29" s="10" t="inlineStr">
        <is>
          <t>L7-1; F33; F35; ЭО-01</t>
        </is>
      </c>
    </row>
    <row r="30">
      <c r="A30" s="10" t="inlineStr">
        <is>
          <t>Э13</t>
        </is>
      </c>
      <c r="B30" s="10" t="inlineStr">
        <is>
          <t>СП-03.1</t>
        </is>
      </c>
      <c r="C30" s="10" t="n">
        <v>24</v>
      </c>
      <c r="D30" s="10" t="inlineStr">
        <is>
          <t>Профиль алюминиевый с рассеивателем для L7-1</t>
        </is>
      </c>
      <c r="E30" s="10" t="n">
        <v>2</v>
      </c>
      <c r="F30" s="10" t="inlineStr">
        <is>
          <t>м</t>
        </is>
      </c>
      <c r="G30" s="11" t="n">
        <v>900</v>
      </c>
      <c r="H30" s="11">
        <f>E30*G30</f>
        <v/>
      </c>
      <c r="I30" s="10" t="inlineStr">
        <is>
          <t>R7</t>
        </is>
      </c>
      <c r="J30" s="10" t="inlineStr">
        <is>
          <t>L7-1</t>
        </is>
      </c>
    </row>
    <row r="31">
      <c r="A31" s="10" t="inlineStr">
        <is>
          <t>Э13</t>
        </is>
      </c>
      <c r="B31" s="10" t="inlineStr">
        <is>
          <t>СП-03.1</t>
        </is>
      </c>
      <c r="C31" s="10" t="n">
        <v>25</v>
      </c>
      <c r="D31" s="10" t="inlineStr">
        <is>
          <t>Блок питания 24 В 30 Вт для L7-1</t>
        </is>
      </c>
      <c r="E31" s="10" t="n">
        <v>1</v>
      </c>
      <c r="F31" s="10" t="inlineStr">
        <is>
          <t>шт</t>
        </is>
      </c>
      <c r="G31" s="11" t="n">
        <v>1500</v>
      </c>
      <c r="H31" s="11">
        <f>E31*G31</f>
        <v/>
      </c>
      <c r="I31" s="10" t="inlineStr">
        <is>
          <t>R7</t>
        </is>
      </c>
      <c r="J31" s="10" t="inlineStr">
        <is>
          <t>L7-1</t>
        </is>
      </c>
    </row>
    <row r="32">
      <c r="A32" s="10" t="inlineStr">
        <is>
          <t>Э13</t>
        </is>
      </c>
      <c r="B32" s="10" t="inlineStr">
        <is>
          <t>СП-03.1</t>
        </is>
      </c>
      <c r="C32" s="10" t="n">
        <v>26</v>
      </c>
      <c r="D32" s="10" t="inlineStr">
        <is>
          <t>Лента LED 24 В 2700 K CRI ≥ 90 — LED 2700K в теневом пазу карниза буазери F41; БП 24 В в съём</t>
        </is>
      </c>
      <c r="E32" s="10" t="n">
        <v>3.5</v>
      </c>
      <c r="F32" s="10" t="inlineStr">
        <is>
          <t>м</t>
        </is>
      </c>
      <c r="G32" s="11" t="n">
        <v>1300</v>
      </c>
      <c r="H32" s="11">
        <f>E32*G32</f>
        <v/>
      </c>
      <c r="I32" s="10" t="inlineStr">
        <is>
          <t>R1</t>
        </is>
      </c>
      <c r="J32" s="10" t="inlineStr">
        <is>
          <t>L9-1; F41; ЭО-01</t>
        </is>
      </c>
    </row>
    <row r="33">
      <c r="A33" s="10" t="inlineStr">
        <is>
          <t>Э13</t>
        </is>
      </c>
      <c r="B33" s="10" t="inlineStr">
        <is>
          <t>СП-03.1</t>
        </is>
      </c>
      <c r="C33" s="10" t="n">
        <v>27</v>
      </c>
      <c r="D33" s="10" t="inlineStr">
        <is>
          <t>Профиль алюминиевый с рассеивателем для L9-1</t>
        </is>
      </c>
      <c r="E33" s="10" t="n">
        <v>3</v>
      </c>
      <c r="F33" s="10" t="inlineStr">
        <is>
          <t>м</t>
        </is>
      </c>
      <c r="G33" s="11" t="n">
        <v>900</v>
      </c>
      <c r="H33" s="11">
        <f>E33*G33</f>
        <v/>
      </c>
      <c r="I33" s="10" t="inlineStr">
        <is>
          <t>R1</t>
        </is>
      </c>
      <c r="J33" s="10" t="inlineStr">
        <is>
          <t>L9-1</t>
        </is>
      </c>
    </row>
    <row r="34">
      <c r="A34" s="10" t="inlineStr">
        <is>
          <t>Э13</t>
        </is>
      </c>
      <c r="B34" s="10" t="inlineStr">
        <is>
          <t>СП-03.1</t>
        </is>
      </c>
      <c r="C34" s="10" t="n">
        <v>28</v>
      </c>
      <c r="D34" s="10" t="inlineStr">
        <is>
          <t>Блок питания 24 В 60 Вт для L9-1</t>
        </is>
      </c>
      <c r="E34" s="10" t="n">
        <v>1</v>
      </c>
      <c r="F34" s="10" t="inlineStr">
        <is>
          <t>шт</t>
        </is>
      </c>
      <c r="G34" s="11" t="n">
        <v>2200</v>
      </c>
      <c r="H34" s="11">
        <f>E34*G34</f>
        <v/>
      </c>
      <c r="I34" s="10" t="inlineStr">
        <is>
          <t>R1</t>
        </is>
      </c>
      <c r="J34" s="10" t="inlineStr">
        <is>
          <t>L9-1</t>
        </is>
      </c>
    </row>
    <row r="35">
      <c r="A35" s="10" t="inlineStr">
        <is>
          <t>Э13</t>
        </is>
      </c>
      <c r="B35" s="10" t="inlineStr">
        <is>
          <t>СП-03.1</t>
        </is>
      </c>
      <c r="C35" s="10" t="n">
        <v>29</v>
      </c>
      <c r="D35" s="10" t="inlineStr">
        <is>
          <t xml:space="preserve">Лента LED 24 В 2700 K CRI ≥ 90 — LED 2700K в карнизе по кромке ниши шторы CN-1 </t>
        </is>
      </c>
      <c r="E35" s="10" t="n">
        <v>4</v>
      </c>
      <c r="F35" s="10" t="inlineStr">
        <is>
          <t>м</t>
        </is>
      </c>
      <c r="G35" s="11" t="n">
        <v>1300</v>
      </c>
      <c r="H35" s="11">
        <f>E35*G35</f>
        <v/>
      </c>
      <c r="I35" s="10" t="inlineStr">
        <is>
          <t>R1</t>
        </is>
      </c>
      <c r="J35" s="10" t="inlineStr">
        <is>
          <t>L10-1; ЭО-01</t>
        </is>
      </c>
    </row>
    <row r="36">
      <c r="A36" s="10" t="inlineStr">
        <is>
          <t>Э13</t>
        </is>
      </c>
      <c r="B36" s="10" t="inlineStr">
        <is>
          <t>СП-03.1</t>
        </is>
      </c>
      <c r="C36" s="10" t="n">
        <v>30</v>
      </c>
      <c r="D36" s="10" t="inlineStr">
        <is>
          <t>Профиль алюминиевый с рассеивателем для L10-1</t>
        </is>
      </c>
      <c r="E36" s="10" t="n">
        <v>4</v>
      </c>
      <c r="F36" s="10" t="inlineStr">
        <is>
          <t>м</t>
        </is>
      </c>
      <c r="G36" s="11" t="n">
        <v>900</v>
      </c>
      <c r="H36" s="11">
        <f>E36*G36</f>
        <v/>
      </c>
      <c r="I36" s="10" t="inlineStr">
        <is>
          <t>R1</t>
        </is>
      </c>
      <c r="J36" s="10" t="inlineStr">
        <is>
          <t>L10-1</t>
        </is>
      </c>
    </row>
    <row r="37">
      <c r="A37" s="10" t="inlineStr">
        <is>
          <t>Э13</t>
        </is>
      </c>
      <c r="B37" s="10" t="inlineStr">
        <is>
          <t>СП-03.1</t>
        </is>
      </c>
      <c r="C37" s="10" t="n">
        <v>31</v>
      </c>
      <c r="D37" s="10" t="inlineStr">
        <is>
          <t>Блок питания 24 В 100 Вт для L10-1</t>
        </is>
      </c>
      <c r="E37" s="10" t="n">
        <v>1</v>
      </c>
      <c r="F37" s="10" t="inlineStr">
        <is>
          <t>шт</t>
        </is>
      </c>
      <c r="G37" s="11" t="n">
        <v>3000</v>
      </c>
      <c r="H37" s="11">
        <f>E37*G37</f>
        <v/>
      </c>
      <c r="I37" s="10" t="inlineStr">
        <is>
          <t>R1</t>
        </is>
      </c>
      <c r="J37" s="10" t="inlineStr">
        <is>
          <t>L10-1</t>
        </is>
      </c>
    </row>
    <row r="38">
      <c r="A38" s="10" t="inlineStr">
        <is>
          <t>Э13</t>
        </is>
      </c>
      <c r="B38" s="10" t="inlineStr">
        <is>
          <t>СП-03.1</t>
        </is>
      </c>
      <c r="C38" s="10" t="n">
        <v>32</v>
      </c>
      <c r="D38" s="10" t="inlineStr">
        <is>
          <t xml:space="preserve">Лента LED 24 В 2700 K CRI ≥ 90 — подсветка снизу ТВ-консоли F47 2700K </t>
        </is>
      </c>
      <c r="E38" s="10" t="n">
        <v>2</v>
      </c>
      <c r="F38" s="10" t="inlineStr">
        <is>
          <t>м</t>
        </is>
      </c>
      <c r="G38" s="11" t="n">
        <v>1300</v>
      </c>
      <c r="H38" s="11">
        <f>E38*G38</f>
        <v/>
      </c>
      <c r="I38" s="10" t="inlineStr">
        <is>
          <t>R1</t>
        </is>
      </c>
      <c r="J38" s="10" t="inlineStr">
        <is>
          <t>L12-1; F47; ЭО-01</t>
        </is>
      </c>
    </row>
    <row r="39">
      <c r="A39" s="10" t="inlineStr">
        <is>
          <t>Э13</t>
        </is>
      </c>
      <c r="B39" s="10" t="inlineStr">
        <is>
          <t>СП-03.1</t>
        </is>
      </c>
      <c r="C39" s="10" t="n">
        <v>33</v>
      </c>
      <c r="D39" s="10" t="inlineStr">
        <is>
          <t>Профиль алюминиевый с рассеивателем для L12-1</t>
        </is>
      </c>
      <c r="E39" s="10" t="n">
        <v>2</v>
      </c>
      <c r="F39" s="10" t="inlineStr">
        <is>
          <t>м</t>
        </is>
      </c>
      <c r="G39" s="11" t="n">
        <v>900</v>
      </c>
      <c r="H39" s="11">
        <f>E39*G39</f>
        <v/>
      </c>
      <c r="I39" s="10" t="inlineStr">
        <is>
          <t>R1</t>
        </is>
      </c>
      <c r="J39" s="10" t="inlineStr">
        <is>
          <t>L12-1</t>
        </is>
      </c>
    </row>
    <row r="40">
      <c r="A40" s="10" t="inlineStr">
        <is>
          <t>Э13</t>
        </is>
      </c>
      <c r="B40" s="10" t="inlineStr">
        <is>
          <t>СП-03.1</t>
        </is>
      </c>
      <c r="C40" s="10" t="n">
        <v>34</v>
      </c>
      <c r="D40" s="10" t="inlineStr">
        <is>
          <t>Блок питания 24 В 30 Вт для L12-1</t>
        </is>
      </c>
      <c r="E40" s="10" t="n">
        <v>1</v>
      </c>
      <c r="F40" s="10" t="inlineStr">
        <is>
          <t>шт</t>
        </is>
      </c>
      <c r="G40" s="11" t="n">
        <v>1500</v>
      </c>
      <c r="H40" s="11">
        <f>E40*G40</f>
        <v/>
      </c>
      <c r="I40" s="10" t="inlineStr">
        <is>
          <t>R1</t>
        </is>
      </c>
      <c r="J40" s="10" t="inlineStr">
        <is>
          <t>L12-1</t>
        </is>
      </c>
    </row>
    <row r="41">
      <c r="A41" s="10" t="inlineStr">
        <is>
          <t>Э13</t>
        </is>
      </c>
      <c r="B41" s="10" t="inlineStr">
        <is>
          <t>СП-03.1</t>
        </is>
      </c>
      <c r="C41" s="10" t="n">
        <v>35</v>
      </c>
      <c r="D41" s="10" t="inlineStr">
        <is>
          <t>Лента LED 24 В 2700 K CRI ≥ 90 — подсветка шкафа-купе F45 по датчикам открытия; БП на антресо</t>
        </is>
      </c>
      <c r="E41" s="10" t="n">
        <v>2.5</v>
      </c>
      <c r="F41" s="10" t="inlineStr">
        <is>
          <t>м</t>
        </is>
      </c>
      <c r="G41" s="11" t="n">
        <v>1300</v>
      </c>
      <c r="H41" s="11">
        <f>E41*G41</f>
        <v/>
      </c>
      <c r="I41" s="10" t="inlineStr">
        <is>
          <t>R1</t>
        </is>
      </c>
      <c r="J41" s="10" t="inlineStr">
        <is>
          <t>L13-1; F45; ЭО-01</t>
        </is>
      </c>
    </row>
    <row r="42">
      <c r="A42" s="10" t="inlineStr">
        <is>
          <t>Э13</t>
        </is>
      </c>
      <c r="B42" s="10" t="inlineStr">
        <is>
          <t>СП-03.1</t>
        </is>
      </c>
      <c r="C42" s="10" t="n">
        <v>36</v>
      </c>
      <c r="D42" s="10" t="inlineStr">
        <is>
          <t>Профиль алюминиевый с рассеивателем для L13-1</t>
        </is>
      </c>
      <c r="E42" s="10" t="n">
        <v>2</v>
      </c>
      <c r="F42" s="10" t="inlineStr">
        <is>
          <t>м</t>
        </is>
      </c>
      <c r="G42" s="11" t="n">
        <v>900</v>
      </c>
      <c r="H42" s="11">
        <f>E42*G42</f>
        <v/>
      </c>
      <c r="I42" s="10" t="inlineStr">
        <is>
          <t>R1</t>
        </is>
      </c>
      <c r="J42" s="10" t="inlineStr">
        <is>
          <t>L13-1</t>
        </is>
      </c>
    </row>
    <row r="43">
      <c r="A43" s="10" t="inlineStr">
        <is>
          <t>Э13</t>
        </is>
      </c>
      <c r="B43" s="10" t="inlineStr">
        <is>
          <t>СП-03.1</t>
        </is>
      </c>
      <c r="C43" s="10" t="n">
        <v>37</v>
      </c>
      <c r="D43" s="10" t="inlineStr">
        <is>
          <t>Блок питания 24 В 30 Вт для L13-1</t>
        </is>
      </c>
      <c r="E43" s="10" t="n">
        <v>1</v>
      </c>
      <c r="F43" s="10" t="inlineStr">
        <is>
          <t>шт</t>
        </is>
      </c>
      <c r="G43" s="11" t="n">
        <v>1500</v>
      </c>
      <c r="H43" s="11">
        <f>E43*G43</f>
        <v/>
      </c>
      <c r="I43" s="10" t="inlineStr">
        <is>
          <t>R1</t>
        </is>
      </c>
      <c r="J43" s="10" t="inlineStr">
        <is>
          <t>L13-1</t>
        </is>
      </c>
    </row>
    <row r="44">
      <c r="A44" s="10" t="inlineStr">
        <is>
          <t>Э13</t>
        </is>
      </c>
      <c r="B44" s="10" t="inlineStr">
        <is>
          <t>СП-03.1</t>
        </is>
      </c>
      <c r="C44" s="10" t="n">
        <v>38</v>
      </c>
      <c r="D44" s="10" t="inlineStr">
        <is>
          <t>Лента LED 24 В 2700 K CRI ≥ 90 — ночная подсветка в плинтусе коридора/прихожей по датчикам дв</t>
        </is>
      </c>
      <c r="E44" s="10" t="n">
        <v>2.5</v>
      </c>
      <c r="F44" s="10" t="inlineStr">
        <is>
          <t>м</t>
        </is>
      </c>
      <c r="G44" s="11" t="n">
        <v>1300</v>
      </c>
      <c r="H44" s="11">
        <f>E44*G44</f>
        <v/>
      </c>
      <c r="I44" s="10" t="inlineStr">
        <is>
          <t>R4</t>
        </is>
      </c>
      <c r="J44" s="10" t="inlineStr">
        <is>
          <t>L17-1; ЭО-01</t>
        </is>
      </c>
    </row>
    <row r="45">
      <c r="A45" s="10" t="inlineStr">
        <is>
          <t>Э13</t>
        </is>
      </c>
      <c r="B45" s="10" t="inlineStr">
        <is>
          <t>СП-03.1</t>
        </is>
      </c>
      <c r="C45" s="10" t="n">
        <v>39</v>
      </c>
      <c r="D45" s="10" t="inlineStr">
        <is>
          <t>Профиль алюминиевый с рассеивателем для L17-1</t>
        </is>
      </c>
      <c r="E45" s="10" t="n">
        <v>3</v>
      </c>
      <c r="F45" s="10" t="inlineStr">
        <is>
          <t>м</t>
        </is>
      </c>
      <c r="G45" s="11" t="n">
        <v>900</v>
      </c>
      <c r="H45" s="11">
        <f>E45*G45</f>
        <v/>
      </c>
      <c r="I45" s="10" t="inlineStr">
        <is>
          <t>R4</t>
        </is>
      </c>
      <c r="J45" s="10" t="inlineStr">
        <is>
          <t>L17-1</t>
        </is>
      </c>
    </row>
    <row r="46">
      <c r="A46" s="10" t="inlineStr">
        <is>
          <t>Э13</t>
        </is>
      </c>
      <c r="B46" s="10" t="inlineStr">
        <is>
          <t>СП-03.1</t>
        </is>
      </c>
      <c r="C46" s="10" t="n">
        <v>40</v>
      </c>
      <c r="D46" s="10" t="inlineStr">
        <is>
          <t>Блок питания 24 В 30 Вт для L17-1</t>
        </is>
      </c>
      <c r="E46" s="10" t="n">
        <v>1</v>
      </c>
      <c r="F46" s="10" t="inlineStr">
        <is>
          <t>шт</t>
        </is>
      </c>
      <c r="G46" s="11" t="n">
        <v>1500</v>
      </c>
      <c r="H46" s="11">
        <f>E46*G46</f>
        <v/>
      </c>
      <c r="I46" s="10" t="inlineStr">
        <is>
          <t>R4</t>
        </is>
      </c>
      <c r="J46" s="10" t="inlineStr">
        <is>
          <t>L17-1</t>
        </is>
      </c>
    </row>
    <row r="47">
      <c r="A47" s="10" t="inlineStr">
        <is>
          <t>Э13</t>
        </is>
      </c>
      <c r="B47" s="10" t="inlineStr">
        <is>
          <t>СП-03.1</t>
        </is>
      </c>
      <c r="C47" s="10" t="n">
        <v>41</v>
      </c>
      <c r="D47" s="10" t="inlineStr">
        <is>
          <t>Лента LED 24 В 2700 K CRI ≥ 90 — подсветка шкафа прихожей F60–F62 по датчикам открытия; БП на</t>
        </is>
      </c>
      <c r="E47" s="10" t="n">
        <v>3</v>
      </c>
      <c r="F47" s="10" t="inlineStr">
        <is>
          <t>м</t>
        </is>
      </c>
      <c r="G47" s="11" t="n">
        <v>1300</v>
      </c>
      <c r="H47" s="11">
        <f>E47*G47</f>
        <v/>
      </c>
      <c r="I47" s="10" t="inlineStr">
        <is>
          <t>R4</t>
        </is>
      </c>
      <c r="J47" s="10" t="inlineStr">
        <is>
          <t>L18-1; F61; ЭО-01</t>
        </is>
      </c>
    </row>
    <row r="48">
      <c r="A48" s="10" t="inlineStr">
        <is>
          <t>Э13</t>
        </is>
      </c>
      <c r="B48" s="10" t="inlineStr">
        <is>
          <t>СП-03.1</t>
        </is>
      </c>
      <c r="C48" s="10" t="n">
        <v>42</v>
      </c>
      <c r="D48" s="10" t="inlineStr">
        <is>
          <t>Профиль алюминиевый с рассеивателем для L18-1</t>
        </is>
      </c>
      <c r="E48" s="10" t="n">
        <v>3</v>
      </c>
      <c r="F48" s="10" t="inlineStr">
        <is>
          <t>м</t>
        </is>
      </c>
      <c r="G48" s="11" t="n">
        <v>900</v>
      </c>
      <c r="H48" s="11">
        <f>E48*G48</f>
        <v/>
      </c>
      <c r="I48" s="10" t="inlineStr">
        <is>
          <t>R4</t>
        </is>
      </c>
      <c r="J48" s="10" t="inlineStr">
        <is>
          <t>L18-1</t>
        </is>
      </c>
    </row>
    <row r="49">
      <c r="A49" s="10" t="inlineStr">
        <is>
          <t>Э13</t>
        </is>
      </c>
      <c r="B49" s="10" t="inlineStr">
        <is>
          <t>СП-03.1</t>
        </is>
      </c>
      <c r="C49" s="10" t="n">
        <v>43</v>
      </c>
      <c r="D49" s="10" t="inlineStr">
        <is>
          <t>Блок питания 24 В 30 Вт для L18-1</t>
        </is>
      </c>
      <c r="E49" s="10" t="n">
        <v>1</v>
      </c>
      <c r="F49" s="10" t="inlineStr">
        <is>
          <t>шт</t>
        </is>
      </c>
      <c r="G49" s="11" t="n">
        <v>1500</v>
      </c>
      <c r="H49" s="11">
        <f>E49*G49</f>
        <v/>
      </c>
      <c r="I49" s="10" t="inlineStr">
        <is>
          <t>R4</t>
        </is>
      </c>
      <c r="J49" s="10" t="inlineStr">
        <is>
          <t>L18-1</t>
        </is>
      </c>
    </row>
    <row r="50">
      <c r="A50" s="10" t="inlineStr">
        <is>
          <t>Э13</t>
        </is>
      </c>
      <c r="B50" s="10" t="inlineStr">
        <is>
          <t>СП-03.1</t>
        </is>
      </c>
      <c r="C50" s="10" t="n">
        <v>44</v>
      </c>
      <c r="D50" s="10" t="inlineStr">
        <is>
          <t>Лента LED 12 В IP67 3000 K CRI ≥ 90 — ночная подсветка под тумбой F71 по датчику движения</t>
        </is>
      </c>
      <c r="E50" s="10" t="n">
        <v>1</v>
      </c>
      <c r="F50" s="10" t="inlineStr">
        <is>
          <t>м</t>
        </is>
      </c>
      <c r="G50" s="11" t="n">
        <v>1500</v>
      </c>
      <c r="H50" s="11">
        <f>E50*G50</f>
        <v/>
      </c>
      <c r="I50" s="10" t="inlineStr">
        <is>
          <t>R5</t>
        </is>
      </c>
      <c r="J50" s="10" t="inlineStr">
        <is>
          <t>L21-1; ЭО-01</t>
        </is>
      </c>
    </row>
    <row r="51">
      <c r="A51" s="10" t="inlineStr">
        <is>
          <t>Э13</t>
        </is>
      </c>
      <c r="B51" s="10" t="inlineStr">
        <is>
          <t>СП-03.1</t>
        </is>
      </c>
      <c r="C51" s="10" t="n">
        <v>45</v>
      </c>
      <c r="D51" s="10" t="inlineStr">
        <is>
          <t>Профиль алюминиевый с рассеивателем для L21-1</t>
        </is>
      </c>
      <c r="E51" s="10" t="n">
        <v>1</v>
      </c>
      <c r="F51" s="10" t="inlineStr">
        <is>
          <t>м</t>
        </is>
      </c>
      <c r="G51" s="11" t="n">
        <v>900</v>
      </c>
      <c r="H51" s="11">
        <f>E51*G51</f>
        <v/>
      </c>
      <c r="I51" s="10" t="inlineStr">
        <is>
          <t>R5</t>
        </is>
      </c>
      <c r="J51" s="10" t="inlineStr">
        <is>
          <t>L21-1</t>
        </is>
      </c>
    </row>
    <row r="52">
      <c r="A52" s="10" t="inlineStr">
        <is>
          <t>Э13</t>
        </is>
      </c>
      <c r="B52" s="10" t="inlineStr">
        <is>
          <t>СП-03.1</t>
        </is>
      </c>
      <c r="C52" s="10" t="n">
        <v>46</v>
      </c>
      <c r="D52" s="10" t="inlineStr">
        <is>
          <t>Блок питания 12 В 30 Вт для L21-1</t>
        </is>
      </c>
      <c r="E52" s="10" t="n">
        <v>1</v>
      </c>
      <c r="F52" s="10" t="inlineStr">
        <is>
          <t>шт</t>
        </is>
      </c>
      <c r="G52" s="11" t="n">
        <v>1500</v>
      </c>
      <c r="H52" s="11">
        <f>E52*G52</f>
        <v/>
      </c>
      <c r="I52" s="10" t="inlineStr">
        <is>
          <t>R5</t>
        </is>
      </c>
      <c r="J52" s="10" t="inlineStr">
        <is>
          <t>L21-1</t>
        </is>
      </c>
    </row>
    <row r="53">
      <c r="A53" s="10" t="inlineStr">
        <is>
          <t>Э13</t>
        </is>
      </c>
      <c r="B53" s="10" t="inlineStr">
        <is>
          <t>СП-03.2</t>
        </is>
      </c>
      <c r="C53" s="10" t="n">
        <v>1</v>
      </c>
      <c r="D53" s="10" t="inlineStr">
        <is>
          <t>Розетка 2П+З 16 А со шторками (механизм)</t>
        </is>
      </c>
      <c r="E53" s="10" t="n">
        <v>36</v>
      </c>
      <c r="F53" s="10" t="inlineStr">
        <is>
          <t>шт</t>
        </is>
      </c>
      <c r="G53" s="11" t="n">
        <v>480</v>
      </c>
      <c r="H53" s="11">
        <f>E53*G53</f>
        <v/>
      </c>
      <c r="I53" s="10" t="inlineStr">
        <is>
          <t>все</t>
        </is>
      </c>
      <c r="J53" s="10" t="inlineStr">
        <is>
          <t>P-K01, P-K02, P-K05, P-K06, P-K07, P-K08, P-K09, P-K10, P-K13, P-K14, P-K15, P-K16, P-B01, P-B04a, P-R03, P-R04, P-R05, P-R06, P-R07, P-R08, P-C01, P-C02, P-C04, P-C05, P-H01, P-H02, P-H03</t>
        </is>
      </c>
    </row>
    <row r="54">
      <c r="A54" s="10" t="inlineStr">
        <is>
          <t>Э13</t>
        </is>
      </c>
      <c r="B54" s="10" t="inlineStr">
        <is>
          <t>СП-03.2</t>
        </is>
      </c>
      <c r="C54" s="10" t="n">
        <v>2</v>
      </c>
      <c r="D54" s="10" t="inlineStr">
        <is>
          <t>Вывод кабеля (механизм-заглушка с выводом) / клеммная колодка (механизм)</t>
        </is>
      </c>
      <c r="E54" s="10" t="n">
        <v>25</v>
      </c>
      <c r="F54" s="10" t="inlineStr">
        <is>
          <t>шт</t>
        </is>
      </c>
      <c r="G54" s="11" t="n">
        <v>400</v>
      </c>
      <c r="H54" s="11">
        <f>E54*G54</f>
        <v/>
      </c>
      <c r="I54" s="10" t="inlineStr">
        <is>
          <t>все</t>
        </is>
      </c>
      <c r="J54" s="10" t="inlineStr">
        <is>
          <t>P-K03, P-K10a, P-K11, P-K12, P-B02, P-B03, P-B04, P-B05, P-B06, P-B07, P-B08, P-R10, P-R11, P-R12, P-R13, P-R14, P-R15, P-H04, P-H05, P-V03, P-V04, P-V05, P-V06, P-L04, P-L05</t>
        </is>
      </c>
    </row>
    <row r="55">
      <c r="A55" s="10" t="inlineStr">
        <is>
          <t>Э13</t>
        </is>
      </c>
      <c r="B55" s="10" t="inlineStr">
        <is>
          <t>СП-03.2</t>
        </is>
      </c>
      <c r="C55" s="10" t="n">
        <v>3</v>
      </c>
      <c r="D55" s="10" t="inlineStr">
        <is>
          <t>Розетка 2П+З 16 А IP44 с крышкой (механизм)</t>
        </is>
      </c>
      <c r="E55" s="10" t="n">
        <v>6</v>
      </c>
      <c r="F55" s="10" t="inlineStr">
        <is>
          <t>шт</t>
        </is>
      </c>
      <c r="G55" s="11" t="n">
        <v>950</v>
      </c>
      <c r="H55" s="11">
        <f>E55*G55</f>
        <v/>
      </c>
      <c r="I55" s="10" t="inlineStr">
        <is>
          <t>все</t>
        </is>
      </c>
      <c r="J55" s="10" t="inlineStr">
        <is>
          <t>P-K04, P-V01, P-V02, P-L01, P-L02, P-L03</t>
        </is>
      </c>
    </row>
    <row r="56">
      <c r="A56" s="10" t="inlineStr">
        <is>
          <t>Э13</t>
        </is>
      </c>
      <c r="B56" s="10" t="inlineStr">
        <is>
          <t>СП-03.2</t>
        </is>
      </c>
      <c r="C56" s="10" t="n">
        <v>4</v>
      </c>
      <c r="D56" s="10" t="inlineStr">
        <is>
          <t>Розетка 2П+З + USB A/C (быстрая зарядка) (механизм)</t>
        </is>
      </c>
      <c r="E56" s="10" t="n">
        <v>5</v>
      </c>
      <c r="F56" s="10" t="inlineStr">
        <is>
          <t>шт</t>
        </is>
      </c>
      <c r="G56" s="11" t="n">
        <v>2300</v>
      </c>
      <c r="H56" s="11">
        <f>E56*G56</f>
        <v/>
      </c>
      <c r="I56" s="10" t="inlineStr">
        <is>
          <t>все</t>
        </is>
      </c>
      <c r="J56" s="10" t="inlineStr">
        <is>
          <t>P-B03a, P-B04b, P-R01, P-R02, P-C03</t>
        </is>
      </c>
    </row>
    <row r="57">
      <c r="A57" s="10" t="inlineStr">
        <is>
          <t>Э13</t>
        </is>
      </c>
      <c r="B57" s="10" t="inlineStr">
        <is>
          <t>СП-03.2</t>
        </is>
      </c>
      <c r="C57" s="10" t="n">
        <v>5</v>
      </c>
      <c r="D57" s="10" t="inlineStr">
        <is>
          <t>Выключатель кнопочный 1кл (под Zigbee-диммер) (механизм)</t>
        </is>
      </c>
      <c r="E57" s="10" t="n">
        <v>2</v>
      </c>
      <c r="F57" s="10" t="inlineStr">
        <is>
          <t>шт</t>
        </is>
      </c>
      <c r="G57" s="11" t="n">
        <v>700</v>
      </c>
      <c r="H57" s="11">
        <f>E57*G57</f>
        <v/>
      </c>
      <c r="I57" s="10" t="inlineStr">
        <is>
          <t>все</t>
        </is>
      </c>
      <c r="J57" s="10" t="inlineStr">
        <is>
          <t>S1, S11</t>
        </is>
      </c>
    </row>
    <row r="58">
      <c r="A58" s="10" t="inlineStr">
        <is>
          <t>Э13</t>
        </is>
      </c>
      <c r="B58" s="10" t="inlineStr">
        <is>
          <t>СП-03.2</t>
        </is>
      </c>
      <c r="C58" s="10" t="n">
        <v>6</v>
      </c>
      <c r="D58" s="10" t="inlineStr">
        <is>
          <t>Выключатель 2-клавишный (механизм)</t>
        </is>
      </c>
      <c r="E58" s="10" t="n">
        <v>4</v>
      </c>
      <c r="F58" s="10" t="inlineStr">
        <is>
          <t>шт</t>
        </is>
      </c>
      <c r="G58" s="11" t="n">
        <v>650</v>
      </c>
      <c r="H58" s="11">
        <f>E58*G58</f>
        <v/>
      </c>
      <c r="I58" s="10" t="inlineStr">
        <is>
          <t>все</t>
        </is>
      </c>
      <c r="J58" s="10" t="inlineStr">
        <is>
          <t>S2, S3, S4, S12</t>
        </is>
      </c>
    </row>
    <row r="59">
      <c r="A59" s="10" t="inlineStr">
        <is>
          <t>Э13</t>
        </is>
      </c>
      <c r="B59" s="10" t="inlineStr">
        <is>
          <t>СП-03.2</t>
        </is>
      </c>
      <c r="C59" s="10" t="n">
        <v>7</v>
      </c>
      <c r="D59" s="10" t="inlineStr">
        <is>
          <t>Переключатель проходной 2-клавишный (механизм)</t>
        </is>
      </c>
      <c r="E59" s="10" t="n">
        <v>1</v>
      </c>
      <c r="F59" s="10" t="inlineStr">
        <is>
          <t>шт</t>
        </is>
      </c>
      <c r="G59" s="11" t="n">
        <v>850</v>
      </c>
      <c r="H59" s="11">
        <f>E59*G59</f>
        <v/>
      </c>
      <c r="I59" s="10" t="inlineStr">
        <is>
          <t>все</t>
        </is>
      </c>
      <c r="J59" s="10" t="inlineStr">
        <is>
          <t>S5</t>
        </is>
      </c>
    </row>
    <row r="60">
      <c r="A60" s="10" t="inlineStr">
        <is>
          <t>Э13</t>
        </is>
      </c>
      <c r="B60" s="10" t="inlineStr">
        <is>
          <t>СП-03.2</t>
        </is>
      </c>
      <c r="C60" s="10" t="n">
        <v>8</v>
      </c>
      <c r="D60" s="10" t="inlineStr">
        <is>
          <t>Переключатель перекрёстный (механизм)</t>
        </is>
      </c>
      <c r="E60" s="10" t="n">
        <v>1</v>
      </c>
      <c r="F60" s="10" t="inlineStr">
        <is>
          <t>шт</t>
        </is>
      </c>
      <c r="G60" s="11" t="n">
        <v>800</v>
      </c>
      <c r="H60" s="11">
        <f>E60*G60</f>
        <v/>
      </c>
      <c r="I60" s="10" t="inlineStr">
        <is>
          <t>все</t>
        </is>
      </c>
      <c r="J60" s="10" t="inlineStr">
        <is>
          <t>S6</t>
        </is>
      </c>
    </row>
    <row r="61">
      <c r="A61" s="10" t="inlineStr">
        <is>
          <t>Э13</t>
        </is>
      </c>
      <c r="B61" s="10" t="inlineStr">
        <is>
          <t>СП-03.2</t>
        </is>
      </c>
      <c r="C61" s="10" t="n">
        <v>9</v>
      </c>
      <c r="D61" s="10" t="inlineStr">
        <is>
          <t>Переключатель проходной (механизм)</t>
        </is>
      </c>
      <c r="E61" s="10" t="n">
        <v>3</v>
      </c>
      <c r="F61" s="10" t="inlineStr">
        <is>
          <t>шт</t>
        </is>
      </c>
      <c r="G61" s="11" t="n">
        <v>600</v>
      </c>
      <c r="H61" s="11">
        <f>E61*G61</f>
        <v/>
      </c>
      <c r="I61" s="10" t="inlineStr">
        <is>
          <t>все</t>
        </is>
      </c>
      <c r="J61" s="10" t="inlineStr">
        <is>
          <t>S7, S8, S13</t>
        </is>
      </c>
    </row>
    <row r="62">
      <c r="A62" s="10" t="inlineStr">
        <is>
          <t>Э13</t>
        </is>
      </c>
      <c r="B62" s="10" t="inlineStr">
        <is>
          <t>СП-03.2</t>
        </is>
      </c>
      <c r="C62" s="10" t="n">
        <v>10</v>
      </c>
      <c r="D62" s="10" t="inlineStr">
        <is>
          <t>Выключатель 1-клавишный (механизм)</t>
        </is>
      </c>
      <c r="E62" s="10" t="n">
        <v>4</v>
      </c>
      <c r="F62" s="10" t="inlineStr">
        <is>
          <t>шт</t>
        </is>
      </c>
      <c r="G62" s="11" t="n">
        <v>450</v>
      </c>
      <c r="H62" s="11">
        <f>E62*G62</f>
        <v/>
      </c>
      <c r="I62" s="10" t="inlineStr">
        <is>
          <t>все</t>
        </is>
      </c>
      <c r="J62" s="10" t="inlineStr">
        <is>
          <t>S9, S10, S14, S15</t>
        </is>
      </c>
    </row>
    <row r="63">
      <c r="A63" s="10" t="inlineStr">
        <is>
          <t>Э13</t>
        </is>
      </c>
      <c r="B63" s="10" t="inlineStr">
        <is>
          <t>СП-03.2</t>
        </is>
      </c>
      <c r="C63" s="10" t="n">
        <v>11</v>
      </c>
      <c r="D63" s="10" t="inlineStr">
        <is>
          <t>Рамка 1-постовая</t>
        </is>
      </c>
      <c r="E63" s="10" t="n">
        <v>69</v>
      </c>
      <c r="F63" s="10" t="inlineStr">
        <is>
          <t>шт</t>
        </is>
      </c>
      <c r="G63" s="11" t="n">
        <v>320</v>
      </c>
      <c r="H63" s="11">
        <f>E63*G63</f>
        <v/>
      </c>
      <c r="I63" s="10" t="inlineStr">
        <is>
          <t>все</t>
        </is>
      </c>
      <c r="J63" s="10" t="inlineStr">
        <is>
          <t>sockets (1 пост) + switches</t>
        </is>
      </c>
    </row>
    <row r="64">
      <c r="A64" s="10" t="inlineStr">
        <is>
          <t>Э13</t>
        </is>
      </c>
      <c r="B64" s="10" t="inlineStr">
        <is>
          <t>СП-03.2</t>
        </is>
      </c>
      <c r="C64" s="10" t="n">
        <v>12</v>
      </c>
      <c r="D64" s="10" t="inlineStr">
        <is>
          <t>Рамка 2-постовая</t>
        </is>
      </c>
      <c r="E64" s="10" t="n">
        <v>9</v>
      </c>
      <c r="F64" s="10" t="inlineStr">
        <is>
          <t>шт</t>
        </is>
      </c>
      <c r="G64" s="11" t="n">
        <v>520</v>
      </c>
      <c r="H64" s="11">
        <f>E64*G64</f>
        <v/>
      </c>
      <c r="I64" s="10" t="inlineStr">
        <is>
          <t>все</t>
        </is>
      </c>
      <c r="J64" s="10" t="inlineStr">
        <is>
          <t>sockets «2P+PE×2»</t>
        </is>
      </c>
    </row>
    <row r="65">
      <c r="A65" s="10" t="inlineStr">
        <is>
          <t>Э13</t>
        </is>
      </c>
      <c r="B65" s="10" t="inlineStr">
        <is>
          <t>СП-03.2</t>
        </is>
      </c>
      <c r="C65" s="10" t="n">
        <v>13</v>
      </c>
      <c r="D65" s="10" t="inlineStr">
        <is>
          <t>Модуль Zigbee диммер/реле за клавишей или контроллер LED 24 В Zigbee (работает без шлюза)</t>
        </is>
      </c>
      <c r="E65" s="10" t="n">
        <v>8</v>
      </c>
      <c r="F65" s="10" t="inlineStr">
        <is>
          <t>шт</t>
        </is>
      </c>
      <c r="G65" s="11" t="n">
        <v>3500</v>
      </c>
      <c r="H65" s="11">
        <f>E65*G65</f>
        <v/>
      </c>
      <c r="I65" s="10" t="inlineStr">
        <is>
          <t>R2, R3, R7</t>
        </is>
      </c>
      <c r="J65" s="10" t="inlineStr">
        <is>
          <t>light_groups L1, L2, L3, L4, L5, L6, L7, L14; electrical.accepted.lighting_control</t>
        </is>
      </c>
    </row>
    <row r="66">
      <c r="A66" s="10" t="inlineStr">
        <is>
          <t>Э04</t>
        </is>
      </c>
      <c r="B66" s="10" t="inlineStr">
        <is>
          <t>СП-03.2</t>
        </is>
      </c>
      <c r="C66" s="10" t="n">
        <v>14</v>
      </c>
      <c r="D66" s="10" t="inlineStr">
        <is>
          <t>Подрозетник (кирпич/ГКЛ), с шаблоном</t>
        </is>
      </c>
      <c r="E66" s="10" t="n">
        <v>87</v>
      </c>
      <c r="F66" s="10" t="inlineStr">
        <is>
          <t>шт</t>
        </is>
      </c>
      <c r="G66" s="11" t="n">
        <v>90</v>
      </c>
      <c r="H66" s="11">
        <f>E66*G66</f>
        <v/>
      </c>
      <c r="I66" s="10" t="inlineStr">
        <is>
          <t>все</t>
        </is>
      </c>
      <c r="J66" s="10" t="inlineStr">
        <is>
          <t>посты sockets + switches</t>
        </is>
      </c>
    </row>
    <row r="67">
      <c r="A67" s="10" t="inlineStr">
        <is>
          <t>Э04</t>
        </is>
      </c>
      <c r="B67" s="10" t="inlineStr">
        <is>
          <t>СП-03.3</t>
        </is>
      </c>
      <c r="C67" s="10" t="n">
        <v>1</v>
      </c>
      <c r="D67" s="10" t="inlineStr">
        <is>
          <t>Щит ЩРН-48 (4×12 модулей) накладной/полувстраиваемый IP31</t>
        </is>
      </c>
      <c r="E67" s="10" t="n">
        <v>1</v>
      </c>
      <c r="F67" s="10" t="inlineStr">
        <is>
          <t>шт</t>
        </is>
      </c>
      <c r="G67" s="11" t="n">
        <v>7500</v>
      </c>
      <c r="H67" s="11">
        <f>E67*G67</f>
        <v/>
      </c>
      <c r="I67" s="10" t="inlineStr">
        <is>
          <t>R4</t>
        </is>
      </c>
      <c r="J67" s="10" t="inlineStr">
        <is>
          <t>U15; panel.json panel; ЭМ-03</t>
        </is>
      </c>
    </row>
    <row r="68">
      <c r="A68" s="10" t="inlineStr">
        <is>
          <t>Э04</t>
        </is>
      </c>
      <c r="B68" s="10" t="inlineStr">
        <is>
          <t>СП-03.3</t>
        </is>
      </c>
      <c r="C68" s="10" t="n">
        <v>2</v>
      </c>
      <c r="D68" s="10" t="inlineStr">
        <is>
          <t>Автомат вводной 2P C63 6 кА</t>
        </is>
      </c>
      <c r="E68" s="10" t="n">
        <v>1</v>
      </c>
      <c r="F68" s="10" t="inlineStr">
        <is>
          <t>шт</t>
        </is>
      </c>
      <c r="G68" s="11" t="n">
        <v>2600</v>
      </c>
      <c r="H68" s="11">
        <f>E68*G68</f>
        <v/>
      </c>
      <c r="I68" s="10" t="inlineStr">
        <is>
          <t>R4</t>
        </is>
      </c>
      <c r="J68" s="10" t="inlineStr">
        <is>
          <t>QS0/QF0; panel.json input</t>
        </is>
      </c>
    </row>
    <row r="69">
      <c r="A69" s="10" t="inlineStr">
        <is>
          <t>Э04</t>
        </is>
      </c>
      <c r="B69" s="10" t="inlineStr">
        <is>
          <t>СП-03.3</t>
        </is>
      </c>
      <c r="C69" s="10" t="n">
        <v>3</v>
      </c>
      <c r="D69" s="10" t="inlineStr">
        <is>
          <t>УЗИП тип 2 (1P+N) 20 кА + защита</t>
        </is>
      </c>
      <c r="E69" s="10" t="n">
        <v>1</v>
      </c>
      <c r="F69" s="10" t="inlineStr">
        <is>
          <t>шт</t>
        </is>
      </c>
      <c r="G69" s="11" t="n">
        <v>6500</v>
      </c>
      <c r="H69" s="11">
        <f>E69*G69</f>
        <v/>
      </c>
      <c r="I69" s="10" t="inlineStr">
        <is>
          <t>R4</t>
        </is>
      </c>
      <c r="J69" s="10" t="inlineStr">
        <is>
          <t>FV1; panel.json input</t>
        </is>
      </c>
    </row>
    <row r="70">
      <c r="A70" s="10" t="inlineStr">
        <is>
          <t>Э04</t>
        </is>
      </c>
      <c r="B70" s="10" t="inlineStr">
        <is>
          <t>СП-03.3</t>
        </is>
      </c>
      <c r="C70" s="10" t="n">
        <v>4</v>
      </c>
      <c r="D70" s="10" t="inlineStr">
        <is>
          <t>Реле контроля напряжения 63 А</t>
        </is>
      </c>
      <c r="E70" s="10" t="n">
        <v>1</v>
      </c>
      <c r="F70" s="10" t="inlineStr">
        <is>
          <t>шт</t>
        </is>
      </c>
      <c r="G70" s="11" t="n">
        <v>4500</v>
      </c>
      <c r="H70" s="11">
        <f>E70*G70</f>
        <v/>
      </c>
      <c r="I70" s="10" t="inlineStr">
        <is>
          <t>R4</t>
        </is>
      </c>
      <c r="J70" s="10" t="inlineStr">
        <is>
          <t>KV1; panel.json input</t>
        </is>
      </c>
    </row>
    <row r="71">
      <c r="A71" s="10" t="inlineStr">
        <is>
          <t>Э04</t>
        </is>
      </c>
      <c r="B71" s="10" t="inlineStr">
        <is>
          <t>СП-03.3</t>
        </is>
      </c>
      <c r="C71" s="10" t="n">
        <v>5</v>
      </c>
      <c r="D71" s="10" t="inlineStr">
        <is>
          <t>УЗО 2P 80 А 100 мА тип S (противопожарное)</t>
        </is>
      </c>
      <c r="E71" s="10" t="n">
        <v>1</v>
      </c>
      <c r="F71" s="10" t="inlineStr">
        <is>
          <t>шт</t>
        </is>
      </c>
      <c r="G71" s="11" t="n">
        <v>9500</v>
      </c>
      <c r="H71" s="11">
        <f>E71*G71</f>
        <v/>
      </c>
      <c r="I71" s="10" t="inlineStr">
        <is>
          <t>R4</t>
        </is>
      </c>
      <c r="J71" s="10" t="inlineStr">
        <is>
          <t>QD0; panel.json input</t>
        </is>
      </c>
    </row>
    <row r="72">
      <c r="A72" s="10" t="inlineStr">
        <is>
          <t>Э04</t>
        </is>
      </c>
      <c r="B72" s="10" t="inlineStr">
        <is>
          <t>СП-03.3</t>
        </is>
      </c>
      <c r="C72" s="10" t="n">
        <v>6</v>
      </c>
      <c r="D72" s="10" t="inlineStr">
        <is>
          <t>Индикатор наличия напряжения</t>
        </is>
      </c>
      <c r="E72" s="10" t="n">
        <v>1</v>
      </c>
      <c r="F72" s="10" t="inlineStr">
        <is>
          <t>шт</t>
        </is>
      </c>
      <c r="G72" s="11" t="n">
        <v>600</v>
      </c>
      <c r="H72" s="11">
        <f>E72*G72</f>
        <v/>
      </c>
      <c r="I72" s="10" t="inlineStr">
        <is>
          <t>R4</t>
        </is>
      </c>
      <c r="J72" s="10" t="inlineStr">
        <is>
          <t>HL; panel.json input</t>
        </is>
      </c>
    </row>
    <row r="73">
      <c r="A73" s="10" t="inlineStr">
        <is>
          <t>Э04</t>
        </is>
      </c>
      <c r="B73" s="10" t="inlineStr">
        <is>
          <t>СП-03.3</t>
        </is>
      </c>
      <c r="C73" s="10" t="n">
        <v>7</v>
      </c>
      <c r="D73" s="10" t="inlineStr">
        <is>
          <t>Автомат 1P C10 6 кА</t>
        </is>
      </c>
      <c r="E73" s="10" t="n">
        <v>2</v>
      </c>
      <c r="F73" s="10" t="inlineStr">
        <is>
          <t>шт</t>
        </is>
      </c>
      <c r="G73" s="11" t="n">
        <v>650</v>
      </c>
      <c r="H73" s="11">
        <f>E73*G73</f>
        <v/>
      </c>
      <c r="I73" s="10" t="inlineStr">
        <is>
          <t>R4</t>
        </is>
      </c>
      <c r="J73" s="10" t="inlineStr">
        <is>
          <t>C1, C2; ЭМ-03</t>
        </is>
      </c>
    </row>
    <row r="74">
      <c r="A74" s="10" t="inlineStr">
        <is>
          <t>Э04</t>
        </is>
      </c>
      <c r="B74" s="10" t="inlineStr">
        <is>
          <t>СП-03.3</t>
        </is>
      </c>
      <c r="C74" s="10" t="n">
        <v>8</v>
      </c>
      <c r="D74" s="10" t="inlineStr">
        <is>
          <t>АВДТ 1P+N C10 30 мА тип A 6 кА</t>
        </is>
      </c>
      <c r="E74" s="10" t="n">
        <v>1</v>
      </c>
      <c r="F74" s="10" t="inlineStr">
        <is>
          <t>шт</t>
        </is>
      </c>
      <c r="G74" s="11" t="n">
        <v>3000</v>
      </c>
      <c r="H74" s="11">
        <f>E74*G74</f>
        <v/>
      </c>
      <c r="I74" s="10" t="inlineStr">
        <is>
          <t>R4</t>
        </is>
      </c>
      <c r="J74" s="10" t="inlineStr">
        <is>
          <t>C3; ЭМ-03</t>
        </is>
      </c>
    </row>
    <row r="75">
      <c r="A75" s="10" t="inlineStr">
        <is>
          <t>Э04</t>
        </is>
      </c>
      <c r="B75" s="10" t="inlineStr">
        <is>
          <t>СП-03.3</t>
        </is>
      </c>
      <c r="C75" s="10" t="n">
        <v>9</v>
      </c>
      <c r="D75" s="10" t="inlineStr">
        <is>
          <t>АВДТ 1P+N C16 30 мА тип A 6 кА</t>
        </is>
      </c>
      <c r="E75" s="10" t="n">
        <v>17</v>
      </c>
      <c r="F75" s="10" t="inlineStr">
        <is>
          <t>шт</t>
        </is>
      </c>
      <c r="G75" s="11" t="n">
        <v>3000</v>
      </c>
      <c r="H75" s="11">
        <f>E75*G75</f>
        <v/>
      </c>
      <c r="I75" s="10" t="inlineStr">
        <is>
          <t>R4</t>
        </is>
      </c>
      <c r="J75" s="10" t="inlineStr">
        <is>
          <t>C4, C5, C6, C8, C9, C10, C11, C13, C14, C15, C16, C17, C18, C19, C20, C21, C22; ЭМ-03</t>
        </is>
      </c>
    </row>
    <row r="76">
      <c r="A76" s="10" t="inlineStr">
        <is>
          <t>Э04</t>
        </is>
      </c>
      <c r="B76" s="10" t="inlineStr">
        <is>
          <t>СП-03.3</t>
        </is>
      </c>
      <c r="C76" s="10" t="n">
        <v>10</v>
      </c>
      <c r="D76" s="10" t="inlineStr">
        <is>
          <t>АВДТ 1P+N C32 30 мА тип A 6 кА (2 мод.)</t>
        </is>
      </c>
      <c r="E76" s="10" t="n">
        <v>1</v>
      </c>
      <c r="F76" s="10" t="inlineStr">
        <is>
          <t>шт</t>
        </is>
      </c>
      <c r="G76" s="11" t="n">
        <v>5200</v>
      </c>
      <c r="H76" s="11">
        <f>E76*G76</f>
        <v/>
      </c>
      <c r="I76" s="10" t="inlineStr">
        <is>
          <t>R4</t>
        </is>
      </c>
      <c r="J76" s="10" t="inlineStr">
        <is>
          <t>C7; ЭМ-03</t>
        </is>
      </c>
    </row>
    <row r="77">
      <c r="A77" s="10" t="inlineStr">
        <is>
          <t>Э04</t>
        </is>
      </c>
      <c r="B77" s="10" t="inlineStr">
        <is>
          <t>СП-03.3</t>
        </is>
      </c>
      <c r="C77" s="10" t="n">
        <v>11</v>
      </c>
      <c r="D77" s="10" t="inlineStr">
        <is>
          <t>АВДТ 1P+N C16 10 мА тип A 6 кА</t>
        </is>
      </c>
      <c r="E77" s="10" t="n">
        <v>1</v>
      </c>
      <c r="F77" s="10" t="inlineStr">
        <is>
          <t>шт</t>
        </is>
      </c>
      <c r="G77" s="11" t="n">
        <v>4800</v>
      </c>
      <c r="H77" s="11">
        <f>E77*G77</f>
        <v/>
      </c>
      <c r="I77" s="10" t="inlineStr">
        <is>
          <t>R4</t>
        </is>
      </c>
      <c r="J77" s="10" t="inlineStr">
        <is>
          <t>C12; ЭМ-03</t>
        </is>
      </c>
    </row>
    <row r="78">
      <c r="A78" s="10" t="inlineStr">
        <is>
          <t>Э04</t>
        </is>
      </c>
      <c r="B78" s="10" t="inlineStr">
        <is>
          <t>СП-03.3</t>
        </is>
      </c>
      <c r="C78" s="10" t="n">
        <v>12</v>
      </c>
      <c r="D78" s="10" t="inlineStr">
        <is>
          <t>Шины N/PE, гребёнки, заглушки, маркировка, DIN-розетки ×3 (P-SS1 в U16)</t>
        </is>
      </c>
      <c r="E78" s="10" t="n">
        <v>1</v>
      </c>
      <c r="F78" s="10" t="inlineStr">
        <is>
          <t>компл</t>
        </is>
      </c>
      <c r="G78" s="11" t="n">
        <v>6500</v>
      </c>
      <c r="H78" s="11">
        <f>E78*G78</f>
        <v/>
      </c>
      <c r="I78" s="10" t="inlineStr">
        <is>
          <t>R4</t>
        </is>
      </c>
      <c r="J78" s="10" t="inlineStr">
        <is>
          <t>panel.json; P-SS1</t>
        </is>
      </c>
    </row>
    <row r="79">
      <c r="A79" s="10" t="inlineStr">
        <is>
          <t>Э04</t>
        </is>
      </c>
      <c r="B79" s="10" t="inlineStr">
        <is>
          <t>СП-03.3</t>
        </is>
      </c>
      <c r="C79" s="10" t="n">
        <v>13</v>
      </c>
      <c r="D79" s="10" t="inlineStr">
        <is>
          <t>Кабель ВВГнг(А)-LS 3×1,5</t>
        </is>
      </c>
      <c r="E79" s="10">
        <f>CEILING(240.6*1.15,5)</f>
        <v/>
      </c>
      <c r="F79" s="10" t="inlineStr">
        <is>
          <t>м</t>
        </is>
      </c>
      <c r="G79" s="11" t="n">
        <v>115</v>
      </c>
      <c r="H79" s="11">
        <f>E79*G79</f>
        <v/>
      </c>
      <c r="I79" s="10" t="inlineStr">
        <is>
          <t>все</t>
        </is>
      </c>
      <c r="J79" s="10" t="inlineStr">
        <is>
          <t>C1, C2, C3; panel.json length_m</t>
        </is>
      </c>
    </row>
    <row r="80">
      <c r="A80" s="10" t="inlineStr">
        <is>
          <t>Э04</t>
        </is>
      </c>
      <c r="B80" s="10" t="inlineStr">
        <is>
          <t>СП-03.3</t>
        </is>
      </c>
      <c r="C80" s="10" t="n">
        <v>14</v>
      </c>
      <c r="D80" s="10" t="inlineStr">
        <is>
          <t>Кабель ВВГнг(А)-LS 3×2,5</t>
        </is>
      </c>
      <c r="E80" s="10">
        <f>CEILING(338.8*1.15,5)</f>
        <v/>
      </c>
      <c r="F80" s="10" t="inlineStr">
        <is>
          <t>м</t>
        </is>
      </c>
      <c r="G80" s="11" t="n">
        <v>170</v>
      </c>
      <c r="H80" s="11">
        <f>E80*G80</f>
        <v/>
      </c>
      <c r="I80" s="10" t="inlineStr">
        <is>
          <t>все</t>
        </is>
      </c>
      <c r="J80" s="10" t="inlineStr">
        <is>
          <t>C4, C5, C6, C8, C9, C10, C11, C12, C13, C14, C15, C16, C17, C18, C19, C20, C21, C22; panel.json length_m</t>
        </is>
      </c>
    </row>
    <row r="81">
      <c r="A81" s="10" t="inlineStr">
        <is>
          <t>Э04</t>
        </is>
      </c>
      <c r="B81" s="10" t="inlineStr">
        <is>
          <t>СП-03.3</t>
        </is>
      </c>
      <c r="C81" s="10" t="n">
        <v>15</v>
      </c>
      <c r="D81" s="10" t="inlineStr">
        <is>
          <t>Кабель ВВГнг(А)-LS 3×6</t>
        </is>
      </c>
      <c r="E81" s="10">
        <f>CEILING(13.2*1.15,5)</f>
        <v/>
      </c>
      <c r="F81" s="10" t="inlineStr">
        <is>
          <t>м</t>
        </is>
      </c>
      <c r="G81" s="11" t="n">
        <v>430</v>
      </c>
      <c r="H81" s="11">
        <f>E81*G81</f>
        <v/>
      </c>
      <c r="I81" s="10" t="inlineStr">
        <is>
          <t>все</t>
        </is>
      </c>
      <c r="J81" s="10" t="inlineStr">
        <is>
          <t>C7; panel.json length_m</t>
        </is>
      </c>
    </row>
    <row r="82">
      <c r="A82" s="10" t="inlineStr">
        <is>
          <t>Э04</t>
        </is>
      </c>
      <c r="B82" s="10" t="inlineStr">
        <is>
          <t>СП-03.3</t>
        </is>
      </c>
      <c r="C82" s="10" t="n">
        <v>16</v>
      </c>
      <c r="D82" s="10" t="inlineStr">
        <is>
          <t>Труба гофрированная ПВХ нг Ø20 с зондом (по потолку, D15)</t>
        </is>
      </c>
      <c r="E82" s="10" t="n">
        <v>700</v>
      </c>
      <c r="F82" s="10" t="inlineStr">
        <is>
          <t>м</t>
        </is>
      </c>
      <c r="G82" s="11" t="n">
        <v>28</v>
      </c>
      <c r="H82" s="11">
        <f>E82*G82</f>
        <v/>
      </c>
      <c r="I82" s="10" t="inlineStr">
        <is>
          <t>все</t>
        </is>
      </c>
      <c r="J82" s="10" t="inlineStr">
        <is>
          <t>panel.json Σ length_m × 1,15</t>
        </is>
      </c>
    </row>
    <row r="83">
      <c r="A83" s="10" t="inlineStr">
        <is>
          <t>Э04</t>
        </is>
      </c>
      <c r="B83" s="10" t="inlineStr">
        <is>
          <t>СП-03.3</t>
        </is>
      </c>
      <c r="C83" s="10" t="n">
        <v>17</v>
      </c>
      <c r="D83" s="10" t="inlineStr">
        <is>
          <t>Провод ПуГВ 1×4 + коробки КУП (ДУП ванной и постирочной)</t>
        </is>
      </c>
      <c r="E83" s="10" t="n">
        <v>2</v>
      </c>
      <c r="F83" s="10" t="inlineStr">
        <is>
          <t>компл</t>
        </is>
      </c>
      <c r="G83" s="11" t="n">
        <v>1800</v>
      </c>
      <c r="H83" s="11">
        <f>E83*G83</f>
        <v/>
      </c>
      <c r="I83" s="10" t="inlineStr">
        <is>
          <t>R5, R6</t>
        </is>
      </c>
      <c r="J83" s="10" t="inlineStr">
        <is>
          <t>panel.json rcd_policy (ДУП)</t>
        </is>
      </c>
    </row>
    <row r="84">
      <c r="A84" s="10" t="inlineStr">
        <is>
          <t>Э04</t>
        </is>
      </c>
      <c r="B84" s="10" t="inlineStr">
        <is>
          <t>СП-03.3</t>
        </is>
      </c>
      <c r="C84" s="10" t="n">
        <v>18</v>
      </c>
      <c r="D84" s="10" t="inlineStr">
        <is>
          <t>Крепёж кабеля: клипсы, дюбель-хомуты, распаечные коробки (доступные), клеммы Wago</t>
        </is>
      </c>
      <c r="E84" s="10" t="n">
        <v>1</v>
      </c>
      <c r="F84" s="10" t="inlineStr">
        <is>
          <t>компл</t>
        </is>
      </c>
      <c r="G84" s="11" t="n">
        <v>9000</v>
      </c>
      <c r="H84" s="11">
        <f>E84*G84</f>
        <v/>
      </c>
      <c r="I84" s="10" t="inlineStr">
        <is>
          <t>все</t>
        </is>
      </c>
      <c r="J84" s="10" t="inlineStr">
        <is>
          <t>23 групп</t>
        </is>
      </c>
    </row>
    <row r="85">
      <c r="A85" s="10" t="inlineStr">
        <is>
          <t>Э13</t>
        </is>
      </c>
      <c r="B85" s="10" t="inlineStr">
        <is>
          <t>СП-04</t>
        </is>
      </c>
      <c r="C85" s="10" t="n">
        <v>1</v>
      </c>
      <c r="D85" s="10" t="inlineStr">
        <is>
          <t>Ванна 1700×750 акрил усиленный/кварил, ножки, экран — облицовка плиткой с ревизией H6</t>
        </is>
      </c>
      <c r="E85" s="10" t="n">
        <v>1</v>
      </c>
      <c r="F85" s="10" t="inlineStr">
        <is>
          <t>шт</t>
        </is>
      </c>
      <c r="G85" s="11" t="n">
        <v>42000</v>
      </c>
      <c r="H85" s="11">
        <f>E85*G85</f>
        <v/>
      </c>
      <c r="I85" s="10" t="inlineStr">
        <is>
          <t>R5</t>
        </is>
      </c>
      <c r="J85" s="10" t="inlineStr">
        <is>
          <t>F66; P03; M24</t>
        </is>
      </c>
    </row>
    <row r="86">
      <c r="A86" s="10" t="inlineStr">
        <is>
          <t>Э13</t>
        </is>
      </c>
      <c r="B86" s="10" t="inlineStr">
        <is>
          <t>СП-04</t>
        </is>
      </c>
      <c r="C86" s="10" t="n">
        <v>2</v>
      </c>
      <c r="D86" s="10" t="inlineStr">
        <is>
          <t>Сифон-автомат ванны с переливом (выпуск у правого торца)</t>
        </is>
      </c>
      <c r="E86" s="10" t="n">
        <v>1</v>
      </c>
      <c r="F86" s="10" t="inlineStr">
        <is>
          <t>шт</t>
        </is>
      </c>
      <c r="G86" s="11" t="n">
        <v>6500</v>
      </c>
      <c r="H86" s="11">
        <f>E86*G86</f>
        <v/>
      </c>
      <c r="I86" s="10" t="inlineStr">
        <is>
          <t>R5</t>
        </is>
      </c>
      <c r="J86" s="10" t="inlineStr">
        <is>
          <t>P03; S2</t>
        </is>
      </c>
    </row>
    <row r="87">
      <c r="A87" s="10" t="inlineStr">
        <is>
          <t>Э13</t>
        </is>
      </c>
      <c r="B87" s="10" t="inlineStr">
        <is>
          <t>СП-04</t>
        </is>
      </c>
      <c r="C87" s="10" t="n">
        <v>3</v>
      </c>
      <c r="D87" s="10" t="inlineStr">
        <is>
          <t>Смеситель для ванны настенный, латунь браш C8</t>
        </is>
      </c>
      <c r="E87" s="10" t="n">
        <v>1</v>
      </c>
      <c r="F87" s="10" t="inlineStr">
        <is>
          <t>шт</t>
        </is>
      </c>
      <c r="G87" s="11" t="n">
        <v>18000</v>
      </c>
      <c r="H87" s="11">
        <f>E87*G87</f>
        <v/>
      </c>
      <c r="I87" s="10" t="inlineStr">
        <is>
          <t>R5</t>
        </is>
      </c>
      <c r="J87" s="10" t="inlineStr">
        <is>
          <t>P03; WB4</t>
        </is>
      </c>
    </row>
    <row r="88">
      <c r="A88" s="10" t="inlineStr">
        <is>
          <t>Э05</t>
        </is>
      </c>
      <c r="B88" s="10" t="inlineStr">
        <is>
          <t>СП-04</t>
        </is>
      </c>
      <c r="C88" s="10" t="n">
        <v>4</v>
      </c>
      <c r="D88" s="10" t="inlineStr">
        <is>
          <t>Термостат скрытого монтажа на 2 потребителя (встраиваемая часть + лицевая панель), латунь браш</t>
        </is>
      </c>
      <c r="E88" s="10" t="n">
        <v>1</v>
      </c>
      <c r="F88" s="10" t="inlineStr">
        <is>
          <t>компл</t>
        </is>
      </c>
      <c r="G88" s="11" t="n">
        <v>38000</v>
      </c>
      <c r="H88" s="11">
        <f>E88*G88</f>
        <v/>
      </c>
      <c r="I88" s="10" t="inlineStr">
        <is>
          <t>R5</t>
        </is>
      </c>
      <c r="J88" s="10" t="inlineStr">
        <is>
          <t>P04; WB3; D23</t>
        </is>
      </c>
    </row>
    <row r="89">
      <c r="A89" s="10" t="inlineStr">
        <is>
          <t>Э13</t>
        </is>
      </c>
      <c r="B89" s="10" t="inlineStr">
        <is>
          <t>СП-04</t>
        </is>
      </c>
      <c r="C89" s="10" t="n">
        <v>5</v>
      </c>
      <c r="D89" s="10" t="inlineStr">
        <is>
          <t>Верхний душ 250 + кронштейн, ручной душ со шлангом и подключением, латунь браш</t>
        </is>
      </c>
      <c r="E89" s="10" t="n">
        <v>1</v>
      </c>
      <c r="F89" s="10" t="inlineStr">
        <is>
          <t>компл</t>
        </is>
      </c>
      <c r="G89" s="11" t="n">
        <v>20000</v>
      </c>
      <c r="H89" s="11">
        <f>E89*G89</f>
        <v/>
      </c>
      <c r="I89" s="10" t="inlineStr">
        <is>
          <t>R5</t>
        </is>
      </c>
      <c r="J89" s="10" t="inlineStr">
        <is>
          <t>P04</t>
        </is>
      </c>
    </row>
    <row r="90">
      <c r="A90" s="10" t="inlineStr">
        <is>
          <t>Э05</t>
        </is>
      </c>
      <c r="B90" s="10" t="inlineStr">
        <is>
          <t>СП-04</t>
        </is>
      </c>
      <c r="C90" s="10" t="n">
        <v>6</v>
      </c>
      <c r="D90" s="10" t="inlineStr">
        <is>
          <t>Трап линейный низкий 800, h ≤ 70, под плитку, с гидрозатвором и фланцем ГИ</t>
        </is>
      </c>
      <c r="E90" s="10" t="n">
        <v>1</v>
      </c>
      <c r="F90" s="10" t="inlineStr">
        <is>
          <t>шт</t>
        </is>
      </c>
      <c r="G90" s="11" t="n">
        <v>16000</v>
      </c>
      <c r="H90" s="11">
        <f>E90*G90</f>
        <v/>
      </c>
      <c r="I90" s="10" t="inlineStr">
        <is>
          <t>R5</t>
        </is>
      </c>
      <c r="J90" s="10" t="inlineStr">
        <is>
          <t>F67; P04; S1; узел 7; D18</t>
        </is>
      </c>
    </row>
    <row r="91">
      <c r="A91" s="10" t="inlineStr">
        <is>
          <t>Э13</t>
        </is>
      </c>
      <c r="B91" s="10" t="inlineStr">
        <is>
          <t>СП-04</t>
        </is>
      </c>
      <c r="C91" s="10" t="n">
        <v>7</v>
      </c>
      <c r="D91" s="10" t="inlineStr">
        <is>
          <t>Стекло душа фиксированное 315×2000, 8 мм, профиль на клею, стабилизатор к потолку (латунь)</t>
        </is>
      </c>
      <c r="E91" s="10" t="n">
        <v>1</v>
      </c>
      <c r="F91" s="10" t="inlineStr">
        <is>
          <t>компл</t>
        </is>
      </c>
      <c r="G91" s="11" t="n">
        <v>22000</v>
      </c>
      <c r="H91" s="11">
        <f>E91*G91</f>
        <v/>
      </c>
      <c r="I91" s="10" t="inlineStr">
        <is>
          <t>R5</t>
        </is>
      </c>
      <c r="J91" s="10" t="inlineStr">
        <is>
          <t>F68</t>
        </is>
      </c>
    </row>
    <row r="92">
      <c r="A92" s="10" t="inlineStr">
        <is>
          <t>Э05</t>
        </is>
      </c>
      <c r="B92" s="10" t="inlineStr">
        <is>
          <t>СП-04</t>
        </is>
      </c>
      <c r="C92" s="10" t="n">
        <v>8</v>
      </c>
      <c r="D92" s="10" t="inlineStr">
        <is>
          <t>Инсталляция для подвесного унитаза (рама к стене, D3)</t>
        </is>
      </c>
      <c r="E92" s="10" t="n">
        <v>1</v>
      </c>
      <c r="F92" s="10" t="inlineStr">
        <is>
          <t>шт</t>
        </is>
      </c>
      <c r="G92" s="11" t="n">
        <v>28000</v>
      </c>
      <c r="H92" s="11">
        <f>E92*G92</f>
        <v/>
      </c>
      <c r="I92" s="10" t="inlineStr">
        <is>
          <t>R5</t>
        </is>
      </c>
      <c r="J92" s="10" t="inlineStr">
        <is>
          <t>F69; P01</t>
        </is>
      </c>
    </row>
    <row r="93">
      <c r="A93" s="10" t="inlineStr">
        <is>
          <t>Э13</t>
        </is>
      </c>
      <c r="B93" s="10" t="inlineStr">
        <is>
          <t>СП-04</t>
        </is>
      </c>
      <c r="C93" s="10" t="n">
        <v>9</v>
      </c>
      <c r="D93" s="10" t="inlineStr">
        <is>
          <t>Кнопка смыва, латунь браш</t>
        </is>
      </c>
      <c r="E93" s="10" t="n">
        <v>1</v>
      </c>
      <c r="F93" s="10" t="inlineStr">
        <is>
          <t>шт</t>
        </is>
      </c>
      <c r="G93" s="11" t="n">
        <v>7000</v>
      </c>
      <c r="H93" s="11">
        <f>E93*G93</f>
        <v/>
      </c>
      <c r="I93" s="10" t="inlineStr">
        <is>
          <t>R5</t>
        </is>
      </c>
      <c r="J93" s="10" t="inlineStr">
        <is>
          <t>F69; P01</t>
        </is>
      </c>
    </row>
    <row r="94">
      <c r="A94" s="10" t="inlineStr">
        <is>
          <t>Э13</t>
        </is>
      </c>
      <c r="B94" s="10" t="inlineStr">
        <is>
          <t>СП-04</t>
        </is>
      </c>
      <c r="C94" s="10" t="n">
        <v>10</v>
      </c>
      <c r="D94" s="10" t="inlineStr">
        <is>
          <t>Унитаз подвесной безободковый + сиденье микролифт</t>
        </is>
      </c>
      <c r="E94" s="10" t="n">
        <v>1</v>
      </c>
      <c r="F94" s="10" t="inlineStr">
        <is>
          <t>шт</t>
        </is>
      </c>
      <c r="G94" s="11" t="n">
        <v>28000</v>
      </c>
      <c r="H94" s="11">
        <f>E94*G94</f>
        <v/>
      </c>
      <c r="I94" s="10" t="inlineStr">
        <is>
          <t>R5</t>
        </is>
      </c>
      <c r="J94" s="10" t="inlineStr">
        <is>
          <t>F70; P01</t>
        </is>
      </c>
    </row>
    <row r="95">
      <c r="A95" s="10" t="inlineStr">
        <is>
          <t>Э13</t>
        </is>
      </c>
      <c r="B95" s="10" t="inlineStr">
        <is>
          <t>СП-04</t>
        </is>
      </c>
      <c r="C95" s="10" t="n">
        <v>11</v>
      </c>
      <c r="D95" s="10" t="inlineStr">
        <is>
          <t>Тумба подвесная 900×480, 2 ящика, шалфей C4, столешница 12 мм + раковина</t>
        </is>
      </c>
      <c r="E95" s="10" t="n">
        <v>1</v>
      </c>
      <c r="F95" s="10" t="inlineStr">
        <is>
          <t>компл</t>
        </is>
      </c>
      <c r="G95" s="11" t="n">
        <v>42000</v>
      </c>
      <c r="H95" s="11">
        <f>E95*G95</f>
        <v/>
      </c>
      <c r="I95" s="10" t="inlineStr">
        <is>
          <t>R5</t>
        </is>
      </c>
      <c r="J95" s="10" t="inlineStr">
        <is>
          <t>F71; P02; M23</t>
        </is>
      </c>
    </row>
    <row r="96">
      <c r="A96" s="10" t="inlineStr">
        <is>
          <t>Э13</t>
        </is>
      </c>
      <c r="B96" s="10" t="inlineStr">
        <is>
          <t>СП-04</t>
        </is>
      </c>
      <c r="C96" s="10" t="n">
        <v>12</v>
      </c>
      <c r="D96" s="10" t="inlineStr">
        <is>
          <t>Зеркальный шкаф 900×750×150 с LED и розеткой</t>
        </is>
      </c>
      <c r="E96" s="10" t="n">
        <v>1</v>
      </c>
      <c r="F96" s="10" t="inlineStr">
        <is>
          <t>шт</t>
        </is>
      </c>
      <c r="G96" s="11" t="n">
        <v>24000</v>
      </c>
      <c r="H96" s="11">
        <f>E96*G96</f>
        <v/>
      </c>
      <c r="I96" s="10" t="inlineStr">
        <is>
          <t>R5</t>
        </is>
      </c>
      <c r="J96" s="10" t="inlineStr">
        <is>
          <t>F72; L20; M23</t>
        </is>
      </c>
    </row>
    <row r="97">
      <c r="A97" s="10" t="inlineStr">
        <is>
          <t>Э13</t>
        </is>
      </c>
      <c r="B97" s="10" t="inlineStr">
        <is>
          <t>СП-04</t>
        </is>
      </c>
      <c r="C97" s="10" t="n">
        <v>13</v>
      </c>
      <c r="D97" s="10" t="inlineStr">
        <is>
          <t>Пенал подвесной 500×350 до +2200</t>
        </is>
      </c>
      <c r="E97" s="10" t="n">
        <v>1</v>
      </c>
      <c r="F97" s="10" t="inlineStr">
        <is>
          <t>шт</t>
        </is>
      </c>
      <c r="G97" s="11" t="n">
        <v>18000</v>
      </c>
      <c r="H97" s="11">
        <f>E97*G97</f>
        <v/>
      </c>
      <c r="I97" s="10" t="inlineStr">
        <is>
          <t>R5</t>
        </is>
      </c>
      <c r="J97" s="10" t="inlineStr">
        <is>
          <t>F73; M23</t>
        </is>
      </c>
    </row>
    <row r="98">
      <c r="A98" s="10" t="inlineStr">
        <is>
          <t>Э13</t>
        </is>
      </c>
      <c r="B98" s="10" t="inlineStr">
        <is>
          <t>СП-04</t>
        </is>
      </c>
      <c r="C98" s="10" t="n">
        <v>14</v>
      </c>
      <c r="D98" s="10" t="inlineStr">
        <is>
          <t>Тумба-корзина для белья подвесная 440×350×700</t>
        </is>
      </c>
      <c r="E98" s="10" t="n">
        <v>1</v>
      </c>
      <c r="F98" s="10" t="inlineStr">
        <is>
          <t>шт</t>
        </is>
      </c>
      <c r="G98" s="11" t="n">
        <v>12000</v>
      </c>
      <c r="H98" s="11">
        <f>E98*G98</f>
        <v/>
      </c>
      <c r="I98" s="10" t="inlineStr">
        <is>
          <t>R5</t>
        </is>
      </c>
      <c r="J98" s="10" t="inlineStr">
        <is>
          <t>F74; M23</t>
        </is>
      </c>
    </row>
    <row r="99">
      <c r="A99" s="10" t="inlineStr">
        <is>
          <t>Э13</t>
        </is>
      </c>
      <c r="B99" s="10" t="inlineStr">
        <is>
          <t>СП-04</t>
        </is>
      </c>
      <c r="C99" s="10" t="n">
        <v>15</v>
      </c>
      <c r="D99" s="10" t="inlineStr">
        <is>
          <t>Смеситель для раковины, латунь браш, + донный клапан и сифон</t>
        </is>
      </c>
      <c r="E99" s="10" t="n">
        <v>1</v>
      </c>
      <c r="F99" s="10" t="inlineStr">
        <is>
          <t>компл</t>
        </is>
      </c>
      <c r="G99" s="11" t="n">
        <v>19000</v>
      </c>
      <c r="H99" s="11">
        <f>E99*G99</f>
        <v/>
      </c>
      <c r="I99" s="10" t="inlineStr">
        <is>
          <t>R5</t>
        </is>
      </c>
      <c r="J99" s="10" t="inlineStr">
        <is>
          <t>P02</t>
        </is>
      </c>
    </row>
    <row r="100">
      <c r="A100" s="10" t="inlineStr">
        <is>
          <t>Э13</t>
        </is>
      </c>
      <c r="B100" s="10" t="inlineStr">
        <is>
          <t>СП-04</t>
        </is>
      </c>
      <c r="C100" s="10" t="n">
        <v>16</v>
      </c>
      <c r="D100" s="10" t="inlineStr">
        <is>
          <t>Полотенцесушитель электрический 400×800, класс II IP44, латунь/бронза</t>
        </is>
      </c>
      <c r="E100" s="10" t="n">
        <v>1</v>
      </c>
      <c r="F100" s="10" t="inlineStr">
        <is>
          <t>шт</t>
        </is>
      </c>
      <c r="G100" s="11" t="n">
        <v>24000</v>
      </c>
      <c r="H100" s="11">
        <f>E100*G100</f>
        <v/>
      </c>
      <c r="I100" s="10" t="inlineStr">
        <is>
          <t>R5</t>
        </is>
      </c>
      <c r="J100" s="10" t="inlineStr">
        <is>
          <t>F75; P05; P-V03</t>
        </is>
      </c>
    </row>
    <row r="101">
      <c r="A101" s="10" t="inlineStr">
        <is>
          <t>Э13</t>
        </is>
      </c>
      <c r="B101" s="10" t="inlineStr">
        <is>
          <t>СП-04</t>
        </is>
      </c>
      <c r="C101" s="10" t="n">
        <v>17</v>
      </c>
      <c r="D101" s="10" t="inlineStr">
        <is>
          <t>Мойка кухни кварцевая 1 чаша 500×450 + сифон с переливом</t>
        </is>
      </c>
      <c r="E101" s="10" t="n">
        <v>1</v>
      </c>
      <c r="F101" s="10" t="inlineStr">
        <is>
          <t>шт</t>
        </is>
      </c>
      <c r="G101" s="11" t="n">
        <v>14000</v>
      </c>
      <c r="H101" s="11">
        <f>E101*G101</f>
        <v/>
      </c>
      <c r="I101" s="10" t="inlineStr">
        <is>
          <t>R3</t>
        </is>
      </c>
      <c r="J101" s="10" t="inlineStr">
        <is>
          <t>F19; P06</t>
        </is>
      </c>
    </row>
    <row r="102">
      <c r="A102" s="10" t="inlineStr">
        <is>
          <t>Э13</t>
        </is>
      </c>
      <c r="B102" s="10" t="inlineStr">
        <is>
          <t>СП-04</t>
        </is>
      </c>
      <c r="C102" s="10" t="n">
        <v>18</v>
      </c>
      <c r="D102" s="10" t="inlineStr">
        <is>
          <t>Смеситель кухни с краном питьевой воды, латунь браш</t>
        </is>
      </c>
      <c r="E102" s="10" t="n">
        <v>1</v>
      </c>
      <c r="F102" s="10" t="inlineStr">
        <is>
          <t>шт</t>
        </is>
      </c>
      <c r="G102" s="11" t="n">
        <v>15000</v>
      </c>
      <c r="H102" s="11">
        <f>E102*G102</f>
        <v/>
      </c>
      <c r="I102" s="10" t="inlineStr">
        <is>
          <t>R3</t>
        </is>
      </c>
      <c r="J102" s="10" t="inlineStr">
        <is>
          <t>F19; P06</t>
        </is>
      </c>
    </row>
    <row r="103">
      <c r="A103" s="10" t="inlineStr">
        <is>
          <t>Э13</t>
        </is>
      </c>
      <c r="B103" s="10" t="inlineStr">
        <is>
          <t>СП-04</t>
        </is>
      </c>
      <c r="C103" s="10" t="n">
        <v>19</v>
      </c>
      <c r="D103" s="10" t="inlineStr">
        <is>
          <t>Фильтр питьевой 3-ступенчатый под мойкой (без накопителя)</t>
        </is>
      </c>
      <c r="E103" s="10" t="n">
        <v>1</v>
      </c>
      <c r="F103" s="10" t="inlineStr">
        <is>
          <t>шт</t>
        </is>
      </c>
      <c r="G103" s="11" t="n">
        <v>8500</v>
      </c>
      <c r="H103" s="11">
        <f>E103*G103</f>
        <v/>
      </c>
      <c r="I103" s="10" t="inlineStr">
        <is>
          <t>R3</t>
        </is>
      </c>
      <c r="J103" s="10" t="inlineStr">
        <is>
          <t>F20; P08</t>
        </is>
      </c>
    </row>
    <row r="104">
      <c r="A104" s="10" t="inlineStr">
        <is>
          <t>Э13</t>
        </is>
      </c>
      <c r="B104" s="10" t="inlineStr">
        <is>
          <t>СП-04</t>
        </is>
      </c>
      <c r="C104" s="10" t="n">
        <v>20</v>
      </c>
      <c r="D104" s="10" t="inlineStr">
        <is>
          <t>Хозмойка накладная 450 + смеситель + сифон с отводом СМА</t>
        </is>
      </c>
      <c r="E104" s="10" t="n">
        <v>1</v>
      </c>
      <c r="F104" s="10" t="inlineStr">
        <is>
          <t>компл</t>
        </is>
      </c>
      <c r="G104" s="11" t="n">
        <v>16000</v>
      </c>
      <c r="H104" s="11">
        <f>E104*G104</f>
        <v/>
      </c>
      <c r="I104" s="10" t="inlineStr">
        <is>
          <t>R6</t>
        </is>
      </c>
      <c r="J104" s="10" t="inlineStr">
        <is>
          <t>F78; P09; S6</t>
        </is>
      </c>
    </row>
    <row r="105">
      <c r="A105" s="10" t="inlineStr">
        <is>
          <t>Э05</t>
        </is>
      </c>
      <c r="B105" s="10" t="inlineStr">
        <is>
          <t>СП-04</t>
        </is>
      </c>
      <c r="C105" s="10" t="n">
        <v>21</v>
      </c>
      <c r="D105" s="10" t="inlineStr">
        <is>
          <t>Кран шаровой ¾″ для СМА + сифон/отвод слива СМА и конденсата СМ</t>
        </is>
      </c>
      <c r="E105" s="10" t="n">
        <v>1</v>
      </c>
      <c r="F105" s="10" t="inlineStr">
        <is>
          <t>компл</t>
        </is>
      </c>
      <c r="G105" s="11" t="n">
        <v>2500</v>
      </c>
      <c r="H105" s="11">
        <f>E105*G105</f>
        <v/>
      </c>
      <c r="I105" s="10" t="inlineStr">
        <is>
          <t>R6</t>
        </is>
      </c>
      <c r="J105" s="10" t="inlineStr">
        <is>
          <t>P10, P11; WL2; S7</t>
        </is>
      </c>
    </row>
    <row r="106">
      <c r="A106" s="10" t="inlineStr">
        <is>
          <t>Э05</t>
        </is>
      </c>
      <c r="B106" s="10" t="inlineStr">
        <is>
          <t>СП-04</t>
        </is>
      </c>
      <c r="C106" s="10" t="n">
        <v>22</v>
      </c>
      <c r="D106" s="10" t="inlineStr">
        <is>
          <t>Кран шаровой квартирный ½″–¾″ (ХВС, ГВС)</t>
        </is>
      </c>
      <c r="E106" s="10" t="n">
        <v>4</v>
      </c>
      <c r="F106" s="10" t="inlineStr">
        <is>
          <t>шт</t>
        </is>
      </c>
      <c r="G106" s="11" t="n">
        <v>1200</v>
      </c>
      <c r="H106" s="11">
        <f>E106*G106</f>
        <v/>
      </c>
      <c r="I106" s="10" t="inlineStr">
        <is>
          <t>R5, R6</t>
        </is>
      </c>
      <c r="J106" s="10" t="inlineStr">
        <is>
          <t>N1, N2 chain</t>
        </is>
      </c>
    </row>
    <row r="107">
      <c r="A107" s="10" t="inlineStr">
        <is>
          <t>Э05</t>
        </is>
      </c>
      <c r="B107" s="10" t="inlineStr">
        <is>
          <t>СП-04</t>
        </is>
      </c>
      <c r="C107" s="10" t="n">
        <v>23</v>
      </c>
      <c r="D107" s="10" t="inlineStr">
        <is>
          <t>Фильтр-редуктор комбинированный 100 мкм с манометром, 3,0 бар</t>
        </is>
      </c>
      <c r="E107" s="10" t="n">
        <v>4</v>
      </c>
      <c r="F107" s="10" t="inlineStr">
        <is>
          <t>шт</t>
        </is>
      </c>
      <c r="G107" s="11" t="n">
        <v>5500</v>
      </c>
      <c r="H107" s="11">
        <f>E107*G107</f>
        <v/>
      </c>
      <c r="I107" s="10" t="inlineStr">
        <is>
          <t>R5, R6</t>
        </is>
      </c>
      <c r="J107" s="10" t="inlineStr">
        <is>
          <t>N1, N2 chain; summary.filter</t>
        </is>
      </c>
    </row>
    <row r="108">
      <c r="A108" s="10" t="inlineStr">
        <is>
          <t>Э05</t>
        </is>
      </c>
      <c r="B108" s="10" t="inlineStr">
        <is>
          <t>СП-04</t>
        </is>
      </c>
      <c r="C108" s="10" t="n">
        <v>24</v>
      </c>
      <c r="D108" s="10" t="inlineStr">
        <is>
          <t>Обратный клапан ½″–¾″</t>
        </is>
      </c>
      <c r="E108" s="10" t="n">
        <v>4</v>
      </c>
      <c r="F108" s="10" t="inlineStr">
        <is>
          <t>шт</t>
        </is>
      </c>
      <c r="G108" s="11" t="n">
        <v>700</v>
      </c>
      <c r="H108" s="11">
        <f>E108*G108</f>
        <v/>
      </c>
      <c r="I108" s="10" t="inlineStr">
        <is>
          <t>R5, R6</t>
        </is>
      </c>
      <c r="J108" s="10" t="inlineStr">
        <is>
          <t>N1, N2 chain</t>
        </is>
      </c>
    </row>
    <row r="109">
      <c r="A109" s="10" t="inlineStr">
        <is>
          <t>Э05</t>
        </is>
      </c>
      <c r="B109" s="10" t="inlineStr">
        <is>
          <t>СП-04</t>
        </is>
      </c>
      <c r="C109" s="10" t="n">
        <v>25</v>
      </c>
      <c r="D109" s="10" t="inlineStr">
        <is>
          <t>Счётчик ИПУ Ду15 с импульсным выходом (если не установлены застройщиком)</t>
        </is>
      </c>
      <c r="E109" s="10" t="n">
        <v>4</v>
      </c>
      <c r="F109" s="10" t="inlineStr">
        <is>
          <t>шт</t>
        </is>
      </c>
      <c r="G109" s="11" t="n">
        <v>2300</v>
      </c>
      <c r="H109" s="11">
        <f>E109*G109</f>
        <v/>
      </c>
      <c r="I109" s="10" t="inlineStr">
        <is>
          <t>R5, R6</t>
        </is>
      </c>
      <c r="J109" s="10" t="inlineStr">
        <is>
          <t>N1, N2 chain</t>
        </is>
      </c>
    </row>
    <row r="110">
      <c r="A110" s="10" t="inlineStr">
        <is>
          <t>Э05</t>
        </is>
      </c>
      <c r="B110" s="10" t="inlineStr">
        <is>
          <t>СП-04</t>
        </is>
      </c>
      <c r="C110" s="10" t="n">
        <v>26</v>
      </c>
      <c r="D110" s="10" t="inlineStr">
        <is>
          <t>Коллектор ¾″ (гребёнка) ХВС/ГВС — корпус</t>
        </is>
      </c>
      <c r="E110" s="10" t="n">
        <v>4</v>
      </c>
      <c r="F110" s="10" t="inlineStr">
        <is>
          <t>шт</t>
        </is>
      </c>
      <c r="G110" s="11" t="n">
        <v>2400</v>
      </c>
      <c r="H110" s="11">
        <f>E110*G110</f>
        <v/>
      </c>
      <c r="I110" s="10" t="inlineStr">
        <is>
          <t>R5, R6</t>
        </is>
      </c>
      <c r="J110" s="10" t="inlineStr">
        <is>
          <t>N1, N2 chain (коллекторы)</t>
        </is>
      </c>
    </row>
    <row r="111">
      <c r="A111" s="10" t="inlineStr">
        <is>
          <t>Э05</t>
        </is>
      </c>
      <c r="B111" s="10" t="inlineStr">
        <is>
          <t>СП-04</t>
        </is>
      </c>
      <c r="C111" s="10" t="n">
        <v>27</v>
      </c>
      <c r="D111" s="10" t="inlineStr">
        <is>
          <t>Выход коллектора с шаровым краном ½″ / евроконус</t>
        </is>
      </c>
      <c r="E111" s="10" t="n">
        <v>13</v>
      </c>
      <c r="F111" s="10" t="inlineStr">
        <is>
          <t>шт</t>
        </is>
      </c>
      <c r="G111" s="11" t="n">
        <v>750</v>
      </c>
      <c r="H111" s="11">
        <f>E111*G111</f>
        <v/>
      </c>
      <c r="I111" s="10" t="inlineStr">
        <is>
          <t>R5, R6</t>
        </is>
      </c>
      <c r="J111" s="10" t="inlineStr">
        <is>
          <t>N1, N2: выходы ХВС/ГВС</t>
        </is>
      </c>
    </row>
    <row r="112">
      <c r="A112" s="10" t="inlineStr">
        <is>
          <t>Э05</t>
        </is>
      </c>
      <c r="B112" s="10" t="inlineStr">
        <is>
          <t>СП-04</t>
        </is>
      </c>
      <c r="C112" s="10" t="n">
        <v>28</v>
      </c>
      <c r="D112" s="10" t="inlineStr">
        <is>
          <t>Труба PEX-a 16×2,2 (цельные отрезки, без соединений в подиуме/облицовке)</t>
        </is>
      </c>
      <c r="E112" s="10" t="n">
        <v>21</v>
      </c>
      <c r="F112" s="10" t="inlineStr">
        <is>
          <t>м</t>
        </is>
      </c>
      <c r="G112" s="11" t="n">
        <v>190</v>
      </c>
      <c r="H112" s="11">
        <f>E112*G112</f>
        <v/>
      </c>
      <c r="I112" s="10" t="inlineStr">
        <is>
          <t>R3, R5, R6</t>
        </is>
      </c>
      <c r="J112" s="10" t="inlineStr">
        <is>
          <t>plumbing.json pipes.water WB1–WB4, WK1, WL1, WL2</t>
        </is>
      </c>
    </row>
    <row r="113">
      <c r="A113" s="10" t="inlineStr">
        <is>
          <t>Э05</t>
        </is>
      </c>
      <c r="B113" s="10" t="inlineStr">
        <is>
          <t>СП-04</t>
        </is>
      </c>
      <c r="C113" s="10" t="n">
        <v>29</v>
      </c>
      <c r="D113" s="10" t="inlineStr">
        <is>
          <t>Теплоизоляция 9 мм (ГВС) / 6 мм антиконденсатная (ХВС)</t>
        </is>
      </c>
      <c r="E113" s="10" t="n">
        <v>21</v>
      </c>
      <c r="F113" s="10" t="inlineStr">
        <is>
          <t>м</t>
        </is>
      </c>
      <c r="G113" s="11" t="n">
        <v>60</v>
      </c>
      <c r="H113" s="11">
        <f>E113*G113</f>
        <v/>
      </c>
      <c r="I113" s="10" t="inlineStr">
        <is>
          <t>R3, R5, R6</t>
        </is>
      </c>
      <c r="J113" s="10" t="inlineStr">
        <is>
          <t>pipes.water_material</t>
        </is>
      </c>
    </row>
    <row r="114">
      <c r="A114" s="10" t="inlineStr">
        <is>
          <t>Э05</t>
        </is>
      </c>
      <c r="B114" s="10" t="inlineStr">
        <is>
          <t>СП-04</t>
        </is>
      </c>
      <c r="C114" s="10" t="n">
        <v>30</v>
      </c>
      <c r="D114" s="10" t="inlineStr">
        <is>
          <t>Водорозетка латунная ½″ (выводы к приборам)</t>
        </is>
      </c>
      <c r="E114" s="10" t="n">
        <v>12</v>
      </c>
      <c r="F114" s="10" t="inlineStr">
        <is>
          <t>шт</t>
        </is>
      </c>
      <c r="G114" s="11" t="n">
        <v>900</v>
      </c>
      <c r="H114" s="11">
        <f>E114*G114</f>
        <v/>
      </c>
      <c r="I114" s="10" t="inlineStr">
        <is>
          <t>R3, R5, R6</t>
        </is>
      </c>
      <c r="J114" s="10" t="inlineStr">
        <is>
          <t>pipes.water: выводы</t>
        </is>
      </c>
    </row>
    <row r="115">
      <c r="A115" s="10" t="inlineStr">
        <is>
          <t>Э05</t>
        </is>
      </c>
      <c r="B115" s="10" t="inlineStr">
        <is>
          <t>СП-04</t>
        </is>
      </c>
      <c r="C115" s="10" t="n">
        <v>31</v>
      </c>
      <c r="D115" s="10" t="inlineStr">
        <is>
          <t>Фитинги на надвижной гильзе (уголки, тройники, переходники), ≈ 3 на вывод</t>
        </is>
      </c>
      <c r="E115" s="10" t="n">
        <v>36</v>
      </c>
      <c r="F115" s="10" t="inlineStr">
        <is>
          <t>шт</t>
        </is>
      </c>
      <c r="G115" s="11" t="n">
        <v>450</v>
      </c>
      <c r="H115" s="11">
        <f>E115*G115</f>
        <v/>
      </c>
      <c r="I115" s="10" t="inlineStr">
        <is>
          <t>R3, R5, R6</t>
        </is>
      </c>
      <c r="J115" s="10" t="inlineStr">
        <is>
          <t>pipes.water</t>
        </is>
      </c>
    </row>
    <row r="116">
      <c r="A116" s="10" t="inlineStr">
        <is>
          <t>Э05</t>
        </is>
      </c>
      <c r="B116" s="10" t="inlineStr">
        <is>
          <t>СП-04</t>
        </is>
      </c>
      <c r="C116" s="10" t="n">
        <v>32</v>
      </c>
      <c r="D116" s="10" t="inlineStr">
        <is>
          <t>Труба ПП канализационная Ø50 (малошумная в коробах)</t>
        </is>
      </c>
      <c r="E116" s="10" t="n">
        <v>8.5</v>
      </c>
      <c r="F116" s="10" t="inlineStr">
        <is>
          <t>м</t>
        </is>
      </c>
      <c r="G116" s="11" t="n">
        <v>260</v>
      </c>
      <c r="H116" s="11">
        <f>E116*G116</f>
        <v/>
      </c>
      <c r="I116" s="10" t="inlineStr">
        <is>
          <t>R3, R5, R6</t>
        </is>
      </c>
      <c r="J116" s="10" t="inlineStr">
        <is>
          <t>sewer S1, S2, S4–S7</t>
        </is>
      </c>
    </row>
    <row r="117">
      <c r="A117" s="10" t="inlineStr">
        <is>
          <t>Э05</t>
        </is>
      </c>
      <c r="B117" s="10" t="inlineStr">
        <is>
          <t>СП-04</t>
        </is>
      </c>
      <c r="C117" s="10" t="n">
        <v>33</v>
      </c>
      <c r="D117" s="10" t="inlineStr">
        <is>
          <t>Труба ПП канализационная Ø110</t>
        </is>
      </c>
      <c r="E117" s="10" t="n">
        <v>1.5</v>
      </c>
      <c r="F117" s="10" t="inlineStr">
        <is>
          <t>м</t>
        </is>
      </c>
      <c r="G117" s="11" t="n">
        <v>480</v>
      </c>
      <c r="H117" s="11">
        <f>E117*G117</f>
        <v/>
      </c>
      <c r="I117" s="10" t="inlineStr">
        <is>
          <t>R5</t>
        </is>
      </c>
      <c r="J117" s="10" t="inlineStr">
        <is>
          <t>sewer S3</t>
        </is>
      </c>
    </row>
    <row r="118">
      <c r="A118" s="10" t="inlineStr">
        <is>
          <t>Э05</t>
        </is>
      </c>
      <c r="B118" s="10" t="inlineStr">
        <is>
          <t>СП-04</t>
        </is>
      </c>
      <c r="C118" s="10" t="n">
        <v>34</v>
      </c>
      <c r="D118" s="10" t="inlineStr">
        <is>
          <t>Фасонные части ПП (отводы 15–45°, тройники, эксц. переходы 110/50), хомуты с резиной</t>
        </is>
      </c>
      <c r="E118" s="10" t="n">
        <v>23</v>
      </c>
      <c r="F118" s="10" t="inlineStr">
        <is>
          <t>шт</t>
        </is>
      </c>
      <c r="G118" s="11" t="n">
        <v>350</v>
      </c>
      <c r="H118" s="11">
        <f>E118*G118</f>
        <v/>
      </c>
      <c r="I118" s="10" t="inlineStr">
        <is>
          <t>R3, R5, R6</t>
        </is>
      </c>
      <c r="J118" s="10" t="inlineStr">
        <is>
          <t>sewer S1–S7; заглушка P12</t>
        </is>
      </c>
    </row>
    <row r="119">
      <c r="A119" s="10" t="inlineStr">
        <is>
          <t>Э05</t>
        </is>
      </c>
      <c r="B119" s="10" t="inlineStr">
        <is>
          <t>СП-04</t>
        </is>
      </c>
      <c r="C119" s="10" t="n">
        <v>35</v>
      </c>
      <c r="D119" s="10" t="inlineStr">
        <is>
          <t>Заглушка Ø110 с ревизией (выпуск бывшего WC постирочной)</t>
        </is>
      </c>
      <c r="E119" s="10" t="n">
        <v>1</v>
      </c>
      <c r="F119" s="10" t="inlineStr">
        <is>
          <t>шт</t>
        </is>
      </c>
      <c r="G119" s="11" t="n">
        <v>900</v>
      </c>
      <c r="H119" s="11">
        <f>E119*G119</f>
        <v/>
      </c>
      <c r="I119" s="10" t="inlineStr">
        <is>
          <t>R6</t>
        </is>
      </c>
      <c r="J119" s="10" t="inlineStr">
        <is>
          <t>P12; D7; planning demolition F1</t>
        </is>
      </c>
    </row>
    <row r="120">
      <c r="A120" s="10" t="inlineStr">
        <is>
          <t>Э08</t>
        </is>
      </c>
      <c r="B120" s="10" t="inlineStr">
        <is>
          <t>СП-04</t>
        </is>
      </c>
      <c r="C120" s="10" t="n">
        <v>36</v>
      </c>
      <c r="D120" s="10" t="inlineStr">
        <is>
          <t>Люк ревизионный 300×600 — люк-невидимка нажимной под плитку/покраску</t>
        </is>
      </c>
      <c r="E120" s="10" t="n">
        <v>1</v>
      </c>
      <c r="F120" s="10" t="inlineStr">
        <is>
          <t>шт</t>
        </is>
      </c>
      <c r="G120" s="11" t="n">
        <v>9500</v>
      </c>
      <c r="H120" s="11">
        <f>E120*G120</f>
        <v/>
      </c>
      <c r="I120" s="10" t="inlineStr">
        <is>
          <t>R5</t>
        </is>
      </c>
      <c r="J120" s="10" t="inlineStr">
        <is>
          <t>H1; ВК-03</t>
        </is>
      </c>
    </row>
    <row r="121">
      <c r="A121" s="10" t="inlineStr">
        <is>
          <t>Э08</t>
        </is>
      </c>
      <c r="B121" s="10" t="inlineStr">
        <is>
          <t>СП-04</t>
        </is>
      </c>
      <c r="C121" s="10" t="n">
        <v>37</v>
      </c>
      <c r="D121" s="10" t="inlineStr">
        <is>
          <t>Люк ревизионный 300×400 — люк под плитку с уплотнением (зона орошения),</t>
        </is>
      </c>
      <c r="E121" s="10" t="n">
        <v>1</v>
      </c>
      <c r="F121" s="10" t="inlineStr">
        <is>
          <t>шт</t>
        </is>
      </c>
      <c r="G121" s="11" t="n">
        <v>7500</v>
      </c>
      <c r="H121" s="11">
        <f>E121*G121</f>
        <v/>
      </c>
      <c r="I121" s="10" t="inlineStr">
        <is>
          <t>R5</t>
        </is>
      </c>
      <c r="J121" s="10" t="inlineStr">
        <is>
          <t>H2; ВК-03</t>
        </is>
      </c>
    </row>
    <row r="122">
      <c r="A122" s="10" t="inlineStr">
        <is>
          <t>Э08</t>
        </is>
      </c>
      <c r="B122" s="10" t="inlineStr">
        <is>
          <t>СП-04</t>
        </is>
      </c>
      <c r="C122" s="10" t="n">
        <v>38</v>
      </c>
      <c r="D122" s="10" t="inlineStr">
        <is>
          <t>Люк ревизионный 300×400 — люк-невидимка над столешницей хозмойки</t>
        </is>
      </c>
      <c r="E122" s="10" t="n">
        <v>1</v>
      </c>
      <c r="F122" s="10" t="inlineStr">
        <is>
          <t>шт</t>
        </is>
      </c>
      <c r="G122" s="11" t="n">
        <v>7500</v>
      </c>
      <c r="H122" s="11">
        <f>E122*G122</f>
        <v/>
      </c>
      <c r="I122" s="10" t="inlineStr">
        <is>
          <t>R6</t>
        </is>
      </c>
      <c r="J122" s="10" t="inlineStr">
        <is>
          <t>H3; ВК-03</t>
        </is>
      </c>
    </row>
    <row r="123">
      <c r="A123" s="10" t="inlineStr">
        <is>
          <t>Э08</t>
        </is>
      </c>
      <c r="B123" s="10" t="inlineStr">
        <is>
          <t>СП-04</t>
        </is>
      </c>
      <c r="C123" s="10" t="n">
        <v>39</v>
      </c>
      <c r="D123" s="10" t="inlineStr">
        <is>
          <t>Люк ревизионный 300×300 — ревизия в экране (под плитку)</t>
        </is>
      </c>
      <c r="E123" s="10" t="n">
        <v>1</v>
      </c>
      <c r="F123" s="10" t="inlineStr">
        <is>
          <t>шт</t>
        </is>
      </c>
      <c r="G123" s="11" t="n">
        <v>5000</v>
      </c>
      <c r="H123" s="11">
        <f>E123*G123</f>
        <v/>
      </c>
      <c r="I123" s="10" t="inlineStr">
        <is>
          <t>R5</t>
        </is>
      </c>
      <c r="J123" s="10" t="inlineStr">
        <is>
          <t>H6; ВК-03</t>
        </is>
      </c>
    </row>
    <row r="124">
      <c r="A124" s="10" t="inlineStr">
        <is>
          <t>Э05</t>
        </is>
      </c>
      <c r="B124" s="10" t="inlineStr">
        <is>
          <t>СП-04</t>
        </is>
      </c>
      <c r="C124" s="10" t="n">
        <v>40</v>
      </c>
      <c r="D124" s="10" t="inlineStr">
        <is>
          <t>Монтажный комплект: кронштейны, шумоизоляция, ФУМ, герметики</t>
        </is>
      </c>
      <c r="E124" s="10" t="n">
        <v>1</v>
      </c>
      <c r="F124" s="10" t="inlineStr">
        <is>
          <t>компл</t>
        </is>
      </c>
      <c r="G124" s="11" t="n">
        <v>6000</v>
      </c>
      <c r="H124" s="11">
        <f>E124*G124</f>
        <v/>
      </c>
      <c r="I124" s="10" t="inlineStr">
        <is>
          <t>R3, R5, R6</t>
        </is>
      </c>
      <c r="J124" s="10" t="inlineStr">
        <is>
          <t>ВК-01</t>
        </is>
      </c>
    </row>
    <row r="125">
      <c r="A125" s="10" t="inlineStr">
        <is>
          <t>Э12</t>
        </is>
      </c>
      <c r="B125" s="10" t="inlineStr">
        <is>
          <t>СП-02.3</t>
        </is>
      </c>
      <c r="C125" s="10" t="n">
        <v>1</v>
      </c>
      <c r="D125" s="10" t="inlineStr">
        <is>
          <t>Дверь Д-1 (D1): полотно 800 × 2100 × 40, МДФ эмаль C1 филёнчатое, коробка, наличники 70–80 с цоколем</t>
        </is>
      </c>
      <c r="E125" s="10" t="n">
        <v>1</v>
      </c>
      <c r="F125" s="10" t="inlineStr">
        <is>
          <t>компл</t>
        </is>
      </c>
      <c r="G125" s="11" t="n">
        <v>42000</v>
      </c>
      <c r="H125" s="11">
        <f>E125*G125</f>
        <v/>
      </c>
      <c r="I125" s="10" t="inlineStr">
        <is>
          <t>R1</t>
        </is>
      </c>
      <c r="J125" s="10" t="inlineStr">
        <is>
          <t>D1; АР-08; M19</t>
        </is>
      </c>
    </row>
    <row r="126">
      <c r="A126" s="10" t="inlineStr">
        <is>
          <t>Э12</t>
        </is>
      </c>
      <c r="B126" s="10" t="inlineStr">
        <is>
          <t>СП-02.3</t>
        </is>
      </c>
      <c r="C126" s="10" t="n">
        <v>2</v>
      </c>
      <c r="D126" s="10" t="inlineStr">
        <is>
          <t>Петли скрытые 3D для Д-1</t>
        </is>
      </c>
      <c r="E126" s="10" t="n">
        <v>3</v>
      </c>
      <c r="F126" s="10" t="inlineStr">
        <is>
          <t>шт</t>
        </is>
      </c>
      <c r="G126" s="11" t="n">
        <v>2600</v>
      </c>
      <c r="H126" s="11">
        <f>E126*G126</f>
        <v/>
      </c>
      <c r="I126" s="10" t="inlineStr">
        <is>
          <t>R1</t>
        </is>
      </c>
      <c r="J126" s="10" t="inlineStr">
        <is>
          <t>D1</t>
        </is>
      </c>
    </row>
    <row r="127">
      <c r="A127" s="10" t="inlineStr">
        <is>
          <t>Э12</t>
        </is>
      </c>
      <c r="B127" s="10" t="inlineStr">
        <is>
          <t>СП-02.3</t>
        </is>
      </c>
      <c r="C127" s="10" t="n">
        <v>3</v>
      </c>
      <c r="D127" s="10" t="inlineStr">
        <is>
          <t>Ручка на розетке латунь сатин C8 для Д-1</t>
        </is>
      </c>
      <c r="E127" s="10" t="n">
        <v>1</v>
      </c>
      <c r="F127" s="10" t="inlineStr">
        <is>
          <t>компл</t>
        </is>
      </c>
      <c r="G127" s="11" t="n">
        <v>3800</v>
      </c>
      <c r="H127" s="11">
        <f>E127*G127</f>
        <v/>
      </c>
      <c r="I127" s="10" t="inlineStr">
        <is>
          <t>R1</t>
        </is>
      </c>
      <c r="J127" s="10" t="inlineStr">
        <is>
          <t>D1</t>
        </is>
      </c>
    </row>
    <row r="128">
      <c r="A128" s="10" t="inlineStr">
        <is>
          <t>Э12</t>
        </is>
      </c>
      <c r="B128" s="10" t="inlineStr">
        <is>
          <t>СП-02.3</t>
        </is>
      </c>
      <c r="C128" s="10" t="n">
        <v>4</v>
      </c>
      <c r="D128" s="10" t="inlineStr">
        <is>
          <t>Защёлка магнитная для Д-1</t>
        </is>
      </c>
      <c r="E128" s="10" t="n">
        <v>1</v>
      </c>
      <c r="F128" s="10" t="inlineStr">
        <is>
          <t>шт</t>
        </is>
      </c>
      <c r="G128" s="11" t="n">
        <v>1500</v>
      </c>
      <c r="H128" s="11">
        <f>E128*G128</f>
        <v/>
      </c>
      <c r="I128" s="10" t="inlineStr">
        <is>
          <t>R1</t>
        </is>
      </c>
      <c r="J128" s="10" t="inlineStr">
        <is>
          <t>D1</t>
        </is>
      </c>
    </row>
    <row r="129">
      <c r="A129" s="10" t="inlineStr">
        <is>
          <t>Э12</t>
        </is>
      </c>
      <c r="B129" s="10" t="inlineStr">
        <is>
          <t>СП-02.3</t>
        </is>
      </c>
      <c r="C129" s="10" t="n">
        <v>5</v>
      </c>
      <c r="D129" s="10" t="inlineStr">
        <is>
          <t>Ограничитель настенный (не в пол, D3) для Д-1</t>
        </is>
      </c>
      <c r="E129" s="10" t="n">
        <v>1</v>
      </c>
      <c r="F129" s="10" t="inlineStr">
        <is>
          <t>шт</t>
        </is>
      </c>
      <c r="G129" s="11" t="n">
        <v>1100</v>
      </c>
      <c r="H129" s="11">
        <f>E129*G129</f>
        <v/>
      </c>
      <c r="I129" s="10" t="inlineStr">
        <is>
          <t>R1</t>
        </is>
      </c>
      <c r="J129" s="10" t="inlineStr">
        <is>
          <t>D1</t>
        </is>
      </c>
    </row>
    <row r="130">
      <c r="A130" s="10" t="inlineStr">
        <is>
          <t>Э12</t>
        </is>
      </c>
      <c r="B130" s="10" t="inlineStr">
        <is>
          <t>СП-02.3</t>
        </is>
      </c>
      <c r="C130" s="10" t="n">
        <v>6</v>
      </c>
      <c r="D130" s="10" t="inlineStr">
        <is>
          <t>Уплотнитель акустический по коробке для Д-1</t>
        </is>
      </c>
      <c r="E130" s="10" t="n">
        <v>1</v>
      </c>
      <c r="F130" s="10" t="inlineStr">
        <is>
          <t>компл</t>
        </is>
      </c>
      <c r="G130" s="11" t="n">
        <v>900</v>
      </c>
      <c r="H130" s="11">
        <f>E130*G130</f>
        <v/>
      </c>
      <c r="I130" s="10" t="inlineStr">
        <is>
          <t>R1</t>
        </is>
      </c>
      <c r="J130" s="10" t="inlineStr">
        <is>
          <t>D1</t>
        </is>
      </c>
    </row>
    <row r="131">
      <c r="A131" s="10" t="inlineStr">
        <is>
          <t>Э12</t>
        </is>
      </c>
      <c r="B131" s="10" t="inlineStr">
        <is>
          <t>СП-02.3</t>
        </is>
      </c>
      <c r="C131" s="10" t="n">
        <v>7</v>
      </c>
      <c r="D131" s="10" t="inlineStr">
        <is>
          <t>Дверь Д-2 (D2): полотно 800 × 2100 × 40, МДФ эмаль C1 филёнчатое, коробка, наличники 70–80 с цоколем</t>
        </is>
      </c>
      <c r="E131" s="10" t="n">
        <v>1</v>
      </c>
      <c r="F131" s="10" t="inlineStr">
        <is>
          <t>компл</t>
        </is>
      </c>
      <c r="G131" s="11" t="n">
        <v>42000</v>
      </c>
      <c r="H131" s="11">
        <f>E131*G131</f>
        <v/>
      </c>
      <c r="I131" s="10" t="inlineStr">
        <is>
          <t>R2</t>
        </is>
      </c>
      <c r="J131" s="10" t="inlineStr">
        <is>
          <t>D2; АР-08; M19</t>
        </is>
      </c>
    </row>
    <row r="132">
      <c r="A132" s="10" t="inlineStr">
        <is>
          <t>Э12</t>
        </is>
      </c>
      <c r="B132" s="10" t="inlineStr">
        <is>
          <t>СП-02.3</t>
        </is>
      </c>
      <c r="C132" s="10" t="n">
        <v>8</v>
      </c>
      <c r="D132" s="10" t="inlineStr">
        <is>
          <t>Петли скрытые 3D для Д-2</t>
        </is>
      </c>
      <c r="E132" s="10" t="n">
        <v>3</v>
      </c>
      <c r="F132" s="10" t="inlineStr">
        <is>
          <t>шт</t>
        </is>
      </c>
      <c r="G132" s="11" t="n">
        <v>2600</v>
      </c>
      <c r="H132" s="11">
        <f>E132*G132</f>
        <v/>
      </c>
      <c r="I132" s="10" t="inlineStr">
        <is>
          <t>R2</t>
        </is>
      </c>
      <c r="J132" s="10" t="inlineStr">
        <is>
          <t>D2</t>
        </is>
      </c>
    </row>
    <row r="133">
      <c r="A133" s="10" t="inlineStr">
        <is>
          <t>Э12</t>
        </is>
      </c>
      <c r="B133" s="10" t="inlineStr">
        <is>
          <t>СП-02.3</t>
        </is>
      </c>
      <c r="C133" s="10" t="n">
        <v>9</v>
      </c>
      <c r="D133" s="10" t="inlineStr">
        <is>
          <t>Ручка на розетке латунь сатин C8 для Д-2</t>
        </is>
      </c>
      <c r="E133" s="10" t="n">
        <v>1</v>
      </c>
      <c r="F133" s="10" t="inlineStr">
        <is>
          <t>компл</t>
        </is>
      </c>
      <c r="G133" s="11" t="n">
        <v>3800</v>
      </c>
      <c r="H133" s="11">
        <f>E133*G133</f>
        <v/>
      </c>
      <c r="I133" s="10" t="inlineStr">
        <is>
          <t>R2</t>
        </is>
      </c>
      <c r="J133" s="10" t="inlineStr">
        <is>
          <t>D2</t>
        </is>
      </c>
    </row>
    <row r="134">
      <c r="A134" s="10" t="inlineStr">
        <is>
          <t>Э12</t>
        </is>
      </c>
      <c r="B134" s="10" t="inlineStr">
        <is>
          <t>СП-02.3</t>
        </is>
      </c>
      <c r="C134" s="10" t="n">
        <v>10</v>
      </c>
      <c r="D134" s="10" t="inlineStr">
        <is>
          <t>Защёлка магнитная для Д-2</t>
        </is>
      </c>
      <c r="E134" s="10" t="n">
        <v>1</v>
      </c>
      <c r="F134" s="10" t="inlineStr">
        <is>
          <t>шт</t>
        </is>
      </c>
      <c r="G134" s="11" t="n">
        <v>1500</v>
      </c>
      <c r="H134" s="11">
        <f>E134*G134</f>
        <v/>
      </c>
      <c r="I134" s="10" t="inlineStr">
        <is>
          <t>R2</t>
        </is>
      </c>
      <c r="J134" s="10" t="inlineStr">
        <is>
          <t>D2</t>
        </is>
      </c>
    </row>
    <row r="135">
      <c r="A135" s="10" t="inlineStr">
        <is>
          <t>Э12</t>
        </is>
      </c>
      <c r="B135" s="10" t="inlineStr">
        <is>
          <t>СП-02.3</t>
        </is>
      </c>
      <c r="C135" s="10" t="n">
        <v>11</v>
      </c>
      <c r="D135" s="10" t="inlineStr">
        <is>
          <t>Ограничитель настенный (не в пол, D3) для Д-2</t>
        </is>
      </c>
      <c r="E135" s="10" t="n">
        <v>1</v>
      </c>
      <c r="F135" s="10" t="inlineStr">
        <is>
          <t>шт</t>
        </is>
      </c>
      <c r="G135" s="11" t="n">
        <v>1100</v>
      </c>
      <c r="H135" s="11">
        <f>E135*G135</f>
        <v/>
      </c>
      <c r="I135" s="10" t="inlineStr">
        <is>
          <t>R2</t>
        </is>
      </c>
      <c r="J135" s="10" t="inlineStr">
        <is>
          <t>D2</t>
        </is>
      </c>
    </row>
    <row r="136">
      <c r="A136" s="10" t="inlineStr">
        <is>
          <t>Э12</t>
        </is>
      </c>
      <c r="B136" s="10" t="inlineStr">
        <is>
          <t>СП-02.3</t>
        </is>
      </c>
      <c r="C136" s="10" t="n">
        <v>12</v>
      </c>
      <c r="D136" s="10" t="inlineStr">
        <is>
          <t>Доводчик-демпфер от защемления для Д-2</t>
        </is>
      </c>
      <c r="E136" s="10" t="n">
        <v>1</v>
      </c>
      <c r="F136" s="10" t="inlineStr">
        <is>
          <t>шт</t>
        </is>
      </c>
      <c r="G136" s="11" t="n">
        <v>2500</v>
      </c>
      <c r="H136" s="11">
        <f>E136*G136</f>
        <v/>
      </c>
      <c r="I136" s="10" t="inlineStr">
        <is>
          <t>R2</t>
        </is>
      </c>
      <c r="J136" s="10" t="inlineStr">
        <is>
          <t>D2</t>
        </is>
      </c>
    </row>
    <row r="137">
      <c r="A137" s="10" t="inlineStr">
        <is>
          <t>Э12</t>
        </is>
      </c>
      <c r="B137" s="10" t="inlineStr">
        <is>
          <t>СП-02.3</t>
        </is>
      </c>
      <c r="C137" s="10" t="n">
        <v>13</v>
      </c>
      <c r="D137" s="10" t="inlineStr">
        <is>
          <t>Дверь Д-3 (D3): полотно 700 × 2010 × 40, МДФ эмаль C1 филёнчатое, влагостойкое, коробка, наличники 70–80 с цоколем</t>
        </is>
      </c>
      <c r="E137" s="10" t="n">
        <v>1</v>
      </c>
      <c r="F137" s="10" t="inlineStr">
        <is>
          <t>компл</t>
        </is>
      </c>
      <c r="G137" s="11" t="n">
        <v>42000</v>
      </c>
      <c r="H137" s="11">
        <f>E137*G137</f>
        <v/>
      </c>
      <c r="I137" s="10" t="inlineStr">
        <is>
          <t>R5</t>
        </is>
      </c>
      <c r="J137" s="10" t="inlineStr">
        <is>
          <t>D3; АР-08; M19</t>
        </is>
      </c>
    </row>
    <row r="138">
      <c r="A138" s="10" t="inlineStr">
        <is>
          <t>Э12</t>
        </is>
      </c>
      <c r="B138" s="10" t="inlineStr">
        <is>
          <t>СП-02.3</t>
        </is>
      </c>
      <c r="C138" s="10" t="n">
        <v>14</v>
      </c>
      <c r="D138" s="10" t="inlineStr">
        <is>
          <t>Петли скрытые 180° для Д-3</t>
        </is>
      </c>
      <c r="E138" s="10" t="n">
        <v>3</v>
      </c>
      <c r="F138" s="10" t="inlineStr">
        <is>
          <t>шт</t>
        </is>
      </c>
      <c r="G138" s="11" t="n">
        <v>2600</v>
      </c>
      <c r="H138" s="11">
        <f>E138*G138</f>
        <v/>
      </c>
      <c r="I138" s="10" t="inlineStr">
        <is>
          <t>R5</t>
        </is>
      </c>
      <c r="J138" s="10" t="inlineStr">
        <is>
          <t>D3</t>
        </is>
      </c>
    </row>
    <row r="139">
      <c r="A139" s="10" t="inlineStr">
        <is>
          <t>Э12</t>
        </is>
      </c>
      <c r="B139" s="10" t="inlineStr">
        <is>
          <t>СП-02.3</t>
        </is>
      </c>
      <c r="C139" s="10" t="n">
        <v>15</v>
      </c>
      <c r="D139" s="10" t="inlineStr">
        <is>
          <t>Ручка на розетке латунь сатин C8 для Д-3</t>
        </is>
      </c>
      <c r="E139" s="10" t="n">
        <v>1</v>
      </c>
      <c r="F139" s="10" t="inlineStr">
        <is>
          <t>компл</t>
        </is>
      </c>
      <c r="G139" s="11" t="n">
        <v>3800</v>
      </c>
      <c r="H139" s="11">
        <f>E139*G139</f>
        <v/>
      </c>
      <c r="I139" s="10" t="inlineStr">
        <is>
          <t>R5</t>
        </is>
      </c>
      <c r="J139" s="10" t="inlineStr">
        <is>
          <t>D3</t>
        </is>
      </c>
    </row>
    <row r="140">
      <c r="A140" s="10" t="inlineStr">
        <is>
          <t>Э12</t>
        </is>
      </c>
      <c r="B140" s="10" t="inlineStr">
        <is>
          <t>СП-02.3</t>
        </is>
      </c>
      <c r="C140" s="10" t="n">
        <v>16</v>
      </c>
      <c r="D140" s="10" t="inlineStr">
        <is>
          <t>Защёлка магнитная для Д-3</t>
        </is>
      </c>
      <c r="E140" s="10" t="n">
        <v>1</v>
      </c>
      <c r="F140" s="10" t="inlineStr">
        <is>
          <t>шт</t>
        </is>
      </c>
      <c r="G140" s="11" t="n">
        <v>1500</v>
      </c>
      <c r="H140" s="11">
        <f>E140*G140</f>
        <v/>
      </c>
      <c r="I140" s="10" t="inlineStr">
        <is>
          <t>R5</t>
        </is>
      </c>
      <c r="J140" s="10" t="inlineStr">
        <is>
          <t>D3</t>
        </is>
      </c>
    </row>
    <row r="141">
      <c r="A141" s="10" t="inlineStr">
        <is>
          <t>Э12</t>
        </is>
      </c>
      <c r="B141" s="10" t="inlineStr">
        <is>
          <t>СП-02.3</t>
        </is>
      </c>
      <c r="C141" s="10" t="n">
        <v>17</v>
      </c>
      <c r="D141" s="10" t="inlineStr">
        <is>
          <t>WC-фиксатор с индикатором, латунь сатин, для Д-3</t>
        </is>
      </c>
      <c r="E141" s="10" t="n">
        <v>1</v>
      </c>
      <c r="F141" s="10" t="inlineStr">
        <is>
          <t>шт</t>
        </is>
      </c>
      <c r="G141" s="11" t="n">
        <v>2600</v>
      </c>
      <c r="H141" s="11">
        <f>E141*G141</f>
        <v/>
      </c>
      <c r="I141" s="10" t="inlineStr">
        <is>
          <t>R5</t>
        </is>
      </c>
      <c r="J141" s="10" t="inlineStr">
        <is>
          <t>D3</t>
        </is>
      </c>
    </row>
    <row r="142">
      <c r="A142" s="10" t="inlineStr">
        <is>
          <t>Э12</t>
        </is>
      </c>
      <c r="B142" s="10" t="inlineStr">
        <is>
          <t>СП-02.3</t>
        </is>
      </c>
      <c r="C142" s="10" t="n">
        <v>18</v>
      </c>
      <c r="D142" s="10" t="inlineStr">
        <is>
          <t>Ограничитель настенный (не в пол, D3) для Д-3</t>
        </is>
      </c>
      <c r="E142" s="10" t="n">
        <v>1</v>
      </c>
      <c r="F142" s="10" t="inlineStr">
        <is>
          <t>шт</t>
        </is>
      </c>
      <c r="G142" s="11" t="n">
        <v>1100</v>
      </c>
      <c r="H142" s="11">
        <f>E142*G142</f>
        <v/>
      </c>
      <c r="I142" s="10" t="inlineStr">
        <is>
          <t>R5</t>
        </is>
      </c>
      <c r="J142" s="10" t="inlineStr">
        <is>
          <t>D3</t>
        </is>
      </c>
    </row>
    <row r="143">
      <c r="A143" s="10" t="inlineStr">
        <is>
          <t>Э12</t>
        </is>
      </c>
      <c r="B143" s="10" t="inlineStr">
        <is>
          <t>СП-02.3</t>
        </is>
      </c>
      <c r="C143" s="10" t="n">
        <v>19</v>
      </c>
      <c r="D143" s="10" t="inlineStr">
        <is>
          <t>Переточная решётка в полотне для Д-3</t>
        </is>
      </c>
      <c r="E143" s="10" t="n">
        <v>1</v>
      </c>
      <c r="F143" s="10" t="inlineStr">
        <is>
          <t>шт</t>
        </is>
      </c>
      <c r="G143" s="11" t="n">
        <v>1500</v>
      </c>
      <c r="H143" s="11">
        <f>E143*G143</f>
        <v/>
      </c>
      <c r="I143" s="10" t="inlineStr">
        <is>
          <t>R5</t>
        </is>
      </c>
      <c r="J143" s="10" t="inlineStr">
        <is>
          <t>D3</t>
        </is>
      </c>
    </row>
    <row r="144">
      <c r="A144" s="10" t="inlineStr">
        <is>
          <t>Э12</t>
        </is>
      </c>
      <c r="B144" s="10" t="inlineStr">
        <is>
          <t>СП-02.3</t>
        </is>
      </c>
      <c r="C144" s="10" t="n">
        <v>20</v>
      </c>
      <c r="D144" s="10" t="inlineStr">
        <is>
          <t>Дверь Д-4 (D4): полотно 700 × 2085 × 40, МДФ эмаль C1 филёнчатое, влагостойкое, коробка, наличники 70–80 с цоколем</t>
        </is>
      </c>
      <c r="E144" s="10" t="n">
        <v>1</v>
      </c>
      <c r="F144" s="10" t="inlineStr">
        <is>
          <t>компл</t>
        </is>
      </c>
      <c r="G144" s="11" t="n">
        <v>42000</v>
      </c>
      <c r="H144" s="11">
        <f>E144*G144</f>
        <v/>
      </c>
      <c r="I144" s="10" t="inlineStr">
        <is>
          <t>R6</t>
        </is>
      </c>
      <c r="J144" s="10" t="inlineStr">
        <is>
          <t>D4; АР-08; M19</t>
        </is>
      </c>
    </row>
    <row r="145">
      <c r="A145" s="10" t="inlineStr">
        <is>
          <t>Э12</t>
        </is>
      </c>
      <c r="B145" s="10" t="inlineStr">
        <is>
          <t>СП-02.3</t>
        </is>
      </c>
      <c r="C145" s="10" t="n">
        <v>21</v>
      </c>
      <c r="D145" s="10" t="inlineStr">
        <is>
          <t>Петли скрытые 180° для Д-4</t>
        </is>
      </c>
      <c r="E145" s="10" t="n">
        <v>3</v>
      </c>
      <c r="F145" s="10" t="inlineStr">
        <is>
          <t>шт</t>
        </is>
      </c>
      <c r="G145" s="11" t="n">
        <v>2600</v>
      </c>
      <c r="H145" s="11">
        <f>E145*G145</f>
        <v/>
      </c>
      <c r="I145" s="10" t="inlineStr">
        <is>
          <t>R6</t>
        </is>
      </c>
      <c r="J145" s="10" t="inlineStr">
        <is>
          <t>D4</t>
        </is>
      </c>
    </row>
    <row r="146">
      <c r="A146" s="10" t="inlineStr">
        <is>
          <t>Э12</t>
        </is>
      </c>
      <c r="B146" s="10" t="inlineStr">
        <is>
          <t>СП-02.3</t>
        </is>
      </c>
      <c r="C146" s="10" t="n">
        <v>22</v>
      </c>
      <c r="D146" s="10" t="inlineStr">
        <is>
          <t>Ручка на розетке латунь сатин C8 для Д-4</t>
        </is>
      </c>
      <c r="E146" s="10" t="n">
        <v>1</v>
      </c>
      <c r="F146" s="10" t="inlineStr">
        <is>
          <t>компл</t>
        </is>
      </c>
      <c r="G146" s="11" t="n">
        <v>3800</v>
      </c>
      <c r="H146" s="11">
        <f>E146*G146</f>
        <v/>
      </c>
      <c r="I146" s="10" t="inlineStr">
        <is>
          <t>R6</t>
        </is>
      </c>
      <c r="J146" s="10" t="inlineStr">
        <is>
          <t>D4</t>
        </is>
      </c>
    </row>
    <row r="147">
      <c r="A147" s="10" t="inlineStr">
        <is>
          <t>Э12</t>
        </is>
      </c>
      <c r="B147" s="10" t="inlineStr">
        <is>
          <t>СП-02.3</t>
        </is>
      </c>
      <c r="C147" s="10" t="n">
        <v>23</v>
      </c>
      <c r="D147" s="10" t="inlineStr">
        <is>
          <t>Защёлка магнитная для Д-4</t>
        </is>
      </c>
      <c r="E147" s="10" t="n">
        <v>1</v>
      </c>
      <c r="F147" s="10" t="inlineStr">
        <is>
          <t>шт</t>
        </is>
      </c>
      <c r="G147" s="11" t="n">
        <v>1500</v>
      </c>
      <c r="H147" s="11">
        <f>E147*G147</f>
        <v/>
      </c>
      <c r="I147" s="10" t="inlineStr">
        <is>
          <t>R6</t>
        </is>
      </c>
      <c r="J147" s="10" t="inlineStr">
        <is>
          <t>D4</t>
        </is>
      </c>
    </row>
    <row r="148">
      <c r="A148" s="10" t="inlineStr">
        <is>
          <t>Э12</t>
        </is>
      </c>
      <c r="B148" s="10" t="inlineStr">
        <is>
          <t>СП-02.3</t>
        </is>
      </c>
      <c r="C148" s="10" t="n">
        <v>24</v>
      </c>
      <c r="D148" s="10" t="inlineStr">
        <is>
          <t>WC-фиксатор с индикатором, латунь сатин, для Д-4</t>
        </is>
      </c>
      <c r="E148" s="10" t="n">
        <v>1</v>
      </c>
      <c r="F148" s="10" t="inlineStr">
        <is>
          <t>шт</t>
        </is>
      </c>
      <c r="G148" s="11" t="n">
        <v>2600</v>
      </c>
      <c r="H148" s="11">
        <f>E148*G148</f>
        <v/>
      </c>
      <c r="I148" s="10" t="inlineStr">
        <is>
          <t>R6</t>
        </is>
      </c>
      <c r="J148" s="10" t="inlineStr">
        <is>
          <t>D4</t>
        </is>
      </c>
    </row>
    <row r="149">
      <c r="A149" s="10" t="inlineStr">
        <is>
          <t>Э12</t>
        </is>
      </c>
      <c r="B149" s="10" t="inlineStr">
        <is>
          <t>СП-02.3</t>
        </is>
      </c>
      <c r="C149" s="10" t="n">
        <v>25</v>
      </c>
      <c r="D149" s="10" t="inlineStr">
        <is>
          <t>Ограничитель настенный (не в пол, D3) для Д-4</t>
        </is>
      </c>
      <c r="E149" s="10" t="n">
        <v>1</v>
      </c>
      <c r="F149" s="10" t="inlineStr">
        <is>
          <t>шт</t>
        </is>
      </c>
      <c r="G149" s="11" t="n">
        <v>1100</v>
      </c>
      <c r="H149" s="11">
        <f>E149*G149</f>
        <v/>
      </c>
      <c r="I149" s="10" t="inlineStr">
        <is>
          <t>R6</t>
        </is>
      </c>
      <c r="J149" s="10" t="inlineStr">
        <is>
          <t>D4</t>
        </is>
      </c>
    </row>
    <row r="150">
      <c r="A150" s="10" t="inlineStr">
        <is>
          <t>Э12</t>
        </is>
      </c>
      <c r="B150" s="10" t="inlineStr">
        <is>
          <t>СП-02.3</t>
        </is>
      </c>
      <c r="C150" s="10" t="n">
        <v>26</v>
      </c>
      <c r="D150" s="10" t="inlineStr">
        <is>
          <t>Надпроёмная панель над D1 до +2750 (МДФ эмаль C1, в системе двери)</t>
        </is>
      </c>
      <c r="E150" s="10" t="n">
        <v>1</v>
      </c>
      <c r="F150" s="10" t="inlineStr">
        <is>
          <t>шт</t>
        </is>
      </c>
      <c r="G150" s="11" t="n">
        <v>12000</v>
      </c>
      <c r="H150" s="11">
        <f>E150*G150</f>
        <v/>
      </c>
      <c r="I150" s="10" t="inlineStr">
        <is>
          <t>R1</t>
        </is>
      </c>
      <c r="J150" s="10" t="inlineStr">
        <is>
          <t>D1; doors.json opening_clear; M19</t>
        </is>
      </c>
    </row>
    <row r="151">
      <c r="A151" s="10" t="inlineStr">
        <is>
          <t>Э12</t>
        </is>
      </c>
      <c r="B151" s="10" t="inlineStr">
        <is>
          <t>СП-02.3</t>
        </is>
      </c>
      <c r="C151" s="10" t="n">
        <v>27</v>
      </c>
      <c r="D151" s="10" t="inlineStr">
        <is>
          <t>Наличник C1 изнутри входной двери ДВ-1 (комплект с цоколем)</t>
        </is>
      </c>
      <c r="E151" s="10" t="n">
        <v>1</v>
      </c>
      <c r="F151" s="10" t="inlineStr">
        <is>
          <t>компл</t>
        </is>
      </c>
      <c r="G151" s="11" t="n">
        <v>8000</v>
      </c>
      <c r="H151" s="11">
        <f>E151*G151</f>
        <v/>
      </c>
      <c r="I151" s="10" t="inlineStr">
        <is>
          <t>R4</t>
        </is>
      </c>
      <c r="J151" s="10" t="inlineStr">
        <is>
          <t>O5; ДВ-1</t>
        </is>
      </c>
    </row>
    <row r="152">
      <c r="A152" s="10" t="inlineStr">
        <is>
          <t>Э11</t>
        </is>
      </c>
      <c r="B152" s="10" t="inlineStr">
        <is>
          <t>СП-05</t>
        </is>
      </c>
      <c r="C152" s="10" t="n">
        <v>1</v>
      </c>
      <c r="D152" s="10" t="inlineStr">
        <is>
          <t>Инженерная доска дуб 2-слойная 14–15 мм, ёлочка 90×600, ультраматовый лак, допуск на водяной ТП</t>
        </is>
      </c>
      <c r="E152" s="10">
        <f>CEILING(51.45*1.08,1.0)</f>
        <v/>
      </c>
      <c r="F152" s="10" t="inlineStr">
        <is>
          <t>м²</t>
        </is>
      </c>
      <c r="G152" s="11" t="n">
        <v>7800</v>
      </c>
      <c r="H152" s="11">
        <f>E152*G152</f>
        <v/>
      </c>
      <c r="I152" s="10" t="inlineStr">
        <is>
          <t>R1, R2, R3, R4</t>
        </is>
      </c>
      <c r="J152" s="10" t="inlineStr">
        <is>
          <t>floors oak_herringbone (R1 17,54, R2 11,87, R3 14,59, R4 7,45); M01; АР-10</t>
        </is>
      </c>
    </row>
    <row r="153">
      <c r="A153" s="10" t="inlineStr">
        <is>
          <t>Э11</t>
        </is>
      </c>
      <c r="B153" s="10" t="inlineStr">
        <is>
          <t>СП-05</t>
        </is>
      </c>
      <c r="C153" s="10" t="n">
        <v>2</v>
      </c>
      <c r="D153" s="10" t="inlineStr">
        <is>
          <t>Клей паркетный MS-полимер эластичный (1,2 кг/м²)</t>
        </is>
      </c>
      <c r="E153" s="10">
        <f>CEILING(51.45*1.2,15)</f>
        <v/>
      </c>
      <c r="F153" s="10" t="inlineStr">
        <is>
          <t>кг</t>
        </is>
      </c>
      <c r="G153" s="11" t="n">
        <v>700</v>
      </c>
      <c r="H153" s="11">
        <f>E153*G153</f>
        <v/>
      </c>
      <c r="I153" s="10" t="inlineStr">
        <is>
          <t>R1, R2, R3, R4</t>
        </is>
      </c>
      <c r="J153" s="10" t="inlineStr">
        <is>
          <t>P-OAK; M01</t>
        </is>
      </c>
    </row>
    <row r="154">
      <c r="A154" s="10" t="inlineStr">
        <is>
          <t>Э11</t>
        </is>
      </c>
      <c r="B154" s="10" t="inlineStr">
        <is>
          <t>СП-05</t>
        </is>
      </c>
      <c r="C154" s="10" t="n">
        <v>3</v>
      </c>
      <c r="D154" s="10" t="inlineStr">
        <is>
          <t>Грунт/ремонтный состав под клей (0,2 л/м²) и локальный ремонт стяжки</t>
        </is>
      </c>
      <c r="E154" s="10" t="n">
        <v>15</v>
      </c>
      <c r="F154" s="10" t="inlineStr">
        <is>
          <t>л</t>
        </is>
      </c>
      <c r="G154" s="11" t="n">
        <v>950</v>
      </c>
      <c r="H154" s="11">
        <f>E154*G154</f>
        <v/>
      </c>
      <c r="I154" s="10" t="inlineStr">
        <is>
          <t>R1, R2, R3, R4</t>
        </is>
      </c>
      <c r="J154" s="10" t="inlineStr">
        <is>
          <t>P-OAK</t>
        </is>
      </c>
    </row>
    <row r="155">
      <c r="A155" s="10" t="inlineStr">
        <is>
          <t>Э11</t>
        </is>
      </c>
      <c r="B155" s="10" t="inlineStr">
        <is>
          <t>СП-05</t>
        </is>
      </c>
      <c r="C155" s="10" t="n">
        <v>4</v>
      </c>
      <c r="D155" s="10" t="inlineStr">
        <is>
          <t>LVT клеевой «ёлочка» в тон дуба C7, 33/42 кл., слой износа ≥ 0,55, допуск на ТП</t>
        </is>
      </c>
      <c r="E155" s="10">
        <f>CEILING(6.47*1.08,0.5)</f>
        <v/>
      </c>
      <c r="F155" s="10" t="inlineStr">
        <is>
          <t>м²</t>
        </is>
      </c>
      <c r="G155" s="11" t="n">
        <v>3300</v>
      </c>
      <c r="H155" s="11">
        <f>E155*G155</f>
        <v/>
      </c>
      <c r="I155" s="10" t="inlineStr">
        <is>
          <t>R7</t>
        </is>
      </c>
      <c r="J155" s="10" t="inlineStr">
        <is>
          <t>floors lvt_herringbone; M28</t>
        </is>
      </c>
    </row>
    <row r="156">
      <c r="A156" s="10" t="inlineStr">
        <is>
          <t>Э11</t>
        </is>
      </c>
      <c r="B156" s="10" t="inlineStr">
        <is>
          <t>СП-05</t>
        </is>
      </c>
      <c r="C156" s="10" t="n">
        <v>5</v>
      </c>
      <c r="D156" s="10" t="inlineStr">
        <is>
          <t>Клей дисперсионный для LVT (0,35 кг/м²)</t>
        </is>
      </c>
      <c r="E156" s="10" t="n">
        <v>3</v>
      </c>
      <c r="F156" s="10" t="inlineStr">
        <is>
          <t>кг</t>
        </is>
      </c>
      <c r="G156" s="11" t="n">
        <v>450</v>
      </c>
      <c r="H156" s="11">
        <f>E156*G156</f>
        <v/>
      </c>
      <c r="I156" s="10" t="inlineStr">
        <is>
          <t>R7</t>
        </is>
      </c>
      <c r="J156" s="10" t="inlineStr">
        <is>
          <t>P-BALC; M28</t>
        </is>
      </c>
    </row>
    <row r="157">
      <c r="A157" s="10" t="inlineStr">
        <is>
          <t>Э08</t>
        </is>
      </c>
      <c r="B157" s="10" t="inlineStr">
        <is>
          <t>СП-05</t>
        </is>
      </c>
      <c r="C157" s="10" t="n">
        <v>6</v>
      </c>
      <c r="D157" s="10" t="inlineStr">
        <is>
          <t>Керамогранит 60×60 «светлый камень» R10 ректификат (вход)</t>
        </is>
      </c>
      <c r="E157" s="10">
        <f>CEILING(1.89*1.1,1.44)</f>
        <v/>
      </c>
      <c r="F157" s="10" t="inlineStr">
        <is>
          <t>м²</t>
        </is>
      </c>
      <c r="G157" s="11" t="n">
        <v>3900</v>
      </c>
      <c r="H157" s="11">
        <f>E157*G157</f>
        <v/>
      </c>
      <c r="I157" s="10" t="inlineStr">
        <is>
          <t>R4</t>
        </is>
      </c>
      <c r="J157" s="10" t="inlineStr">
        <is>
          <t>floors porcelain_60x60_hall; M16</t>
        </is>
      </c>
    </row>
    <row r="158">
      <c r="A158" s="10" t="inlineStr">
        <is>
          <t>Э08</t>
        </is>
      </c>
      <c r="B158" s="10" t="inlineStr">
        <is>
          <t>СП-05</t>
        </is>
      </c>
      <c r="C158" s="10" t="n">
        <v>7</v>
      </c>
      <c r="D158" s="10" t="inlineStr">
        <is>
          <t>Керамогранит 60×60 «светлый мрамор» R10 ректификат (ванная, постирочная)</t>
        </is>
      </c>
      <c r="E158" s="10">
        <f>CEILING(5.85*1.1,1.44)</f>
        <v/>
      </c>
      <c r="F158" s="10" t="inlineStr">
        <is>
          <t>м²</t>
        </is>
      </c>
      <c r="G158" s="11" t="n">
        <v>4500</v>
      </c>
      <c r="H158" s="11">
        <f>E158*G158</f>
        <v/>
      </c>
      <c r="I158" s="10" t="inlineStr">
        <is>
          <t>R5, R6</t>
        </is>
      </c>
      <c r="J158" s="10" t="inlineStr">
        <is>
          <t>floors porcelain_60x60_bath + _laundry; M20, M25</t>
        </is>
      </c>
    </row>
    <row r="159">
      <c r="A159" s="10" t="inlineStr">
        <is>
          <t>Э08</t>
        </is>
      </c>
      <c r="B159" s="10" t="inlineStr">
        <is>
          <t>СП-05</t>
        </is>
      </c>
      <c r="C159" s="10" t="n">
        <v>8</v>
      </c>
      <c r="D159" s="10" t="inlineStr">
        <is>
          <t>Керамогранит 60×120 «светлый мрамор» R10/B (пол душа, уклон к трапу)</t>
        </is>
      </c>
      <c r="E159" s="10">
        <f>CEILING(0.71*1.15,1.44)</f>
        <v/>
      </c>
      <c r="F159" s="10" t="inlineStr">
        <is>
          <t>м²</t>
        </is>
      </c>
      <c r="G159" s="11" t="n">
        <v>5900</v>
      </c>
      <c r="H159" s="11">
        <f>E159*G159</f>
        <v/>
      </c>
      <c r="I159" s="10" t="inlineStr">
        <is>
          <t>R5</t>
        </is>
      </c>
      <c r="J159" s="10" t="inlineStr">
        <is>
          <t>floors porcelain_60x120_shower_R10B; M20</t>
        </is>
      </c>
    </row>
    <row r="160">
      <c r="A160" s="10" t="inlineStr">
        <is>
          <t>Э08</t>
        </is>
      </c>
      <c r="B160" s="10" t="inlineStr">
        <is>
          <t>СП-05</t>
        </is>
      </c>
      <c r="C160" s="10" t="n">
        <v>9</v>
      </c>
      <c r="D160" s="10" t="inlineStr">
        <is>
          <t>Керамогранит 60×120 «светлый мрамор» матовый — стены ванной (мокрые зоны до потолка + до +1280) и фартук кухни</t>
        </is>
      </c>
      <c r="E160" s="10">
        <f>CEILING(18.3*1.15,1.44)</f>
        <v/>
      </c>
      <c r="F160" s="10" t="inlineStr">
        <is>
          <t>м²</t>
        </is>
      </c>
      <c r="G160" s="11" t="n">
        <v>5600</v>
      </c>
      <c r="H160" s="11">
        <f>E160*G160</f>
        <v/>
      </c>
      <c r="I160" s="10" t="inlineStr">
        <is>
          <t>R5, R3</t>
        </is>
      </c>
      <c r="J160" s="10" t="inlineStr">
        <is>
          <t>walls tile_wet + tile_dry + tile_apron_porcelain; M21, M13; АР-13, АР-11</t>
        </is>
      </c>
    </row>
    <row r="161">
      <c r="A161" s="10" t="inlineStr">
        <is>
          <t>Э08</t>
        </is>
      </c>
      <c r="B161" s="10" t="inlineStr">
        <is>
          <t>СП-05</t>
        </is>
      </c>
      <c r="C161" s="10" t="n">
        <v>10</v>
      </c>
      <c r="D161" s="10" t="inlineStr">
        <is>
          <t>Плитка «кабанчик» матовая (фартук хозмойки)</t>
        </is>
      </c>
      <c r="E161" s="10">
        <f>CEILING(0.77*1.1,1.0)</f>
        <v/>
      </c>
      <c r="F161" s="10" t="inlineStr">
        <is>
          <t>м²</t>
        </is>
      </c>
      <c r="G161" s="11" t="n">
        <v>2600</v>
      </c>
      <c r="H161" s="11">
        <f>E161*G161</f>
        <v/>
      </c>
      <c r="I161" s="10" t="inlineStr">
        <is>
          <t>R6</t>
        </is>
      </c>
      <c r="J161" s="10" t="inlineStr">
        <is>
          <t>walls tile_apron; M27; АР-14</t>
        </is>
      </c>
    </row>
    <row r="162">
      <c r="A162" s="10" t="inlineStr">
        <is>
          <t>Э08</t>
        </is>
      </c>
      <c r="B162" s="10" t="inlineStr">
        <is>
          <t>СП-05</t>
        </is>
      </c>
      <c r="C162" s="10" t="n">
        <v>11</v>
      </c>
      <c r="D162" s="10" t="inlineStr">
        <is>
          <t>Клей плиточный C2TE S1 для ТП и крупного формата (пол 7 кг/м², стены 6 кг/м²)</t>
        </is>
      </c>
      <c r="E162" s="10">
        <f>CEILING((8.45*7+19.07*6)/25,1)</f>
        <v/>
      </c>
      <c r="F162" s="10" t="inlineStr">
        <is>
          <t>меш. 25 кг</t>
        </is>
      </c>
      <c r="G162" s="11" t="n">
        <v>1250</v>
      </c>
      <c r="H162" s="11">
        <f>E162*G162</f>
        <v/>
      </c>
      <c r="I162" s="10" t="inlineStr">
        <is>
          <t>R3–R6</t>
        </is>
      </c>
      <c r="J162" s="10" t="inlineStr">
        <is>
          <t>floors/walls tile_*</t>
        </is>
      </c>
    </row>
    <row r="163">
      <c r="A163" s="10" t="inlineStr">
        <is>
          <t>Э08</t>
        </is>
      </c>
      <c r="B163" s="10" t="inlineStr">
        <is>
          <t>СП-05</t>
        </is>
      </c>
      <c r="C163" s="10" t="n">
        <v>12</v>
      </c>
      <c r="D163" s="10" t="inlineStr">
        <is>
          <t>Затирка эпоксидная (ванная, 0,35 кг/м²)</t>
        </is>
      </c>
      <c r="E163" s="10" t="n">
        <v>7</v>
      </c>
      <c r="F163" s="10" t="inlineStr">
        <is>
          <t>кг</t>
        </is>
      </c>
      <c r="G163" s="11" t="n">
        <v>1900</v>
      </c>
      <c r="H163" s="11">
        <f>E163*G163</f>
        <v/>
      </c>
      <c r="I163" s="10" t="inlineStr">
        <is>
          <t>R5</t>
        </is>
      </c>
      <c r="J163" s="10" t="inlineStr">
        <is>
          <t>M21</t>
        </is>
      </c>
    </row>
    <row r="164">
      <c r="A164" s="10" t="inlineStr">
        <is>
          <t>Э08</t>
        </is>
      </c>
      <c r="B164" s="10" t="inlineStr">
        <is>
          <t>СП-05</t>
        </is>
      </c>
      <c r="C164" s="10" t="n">
        <v>13</v>
      </c>
      <c r="D164" s="10" t="inlineStr">
        <is>
          <t>Затирка цементная (прихожая, постирочная, фартуки, 0,3 кг/м²)</t>
        </is>
      </c>
      <c r="E164" s="10" t="n">
        <v>3</v>
      </c>
      <c r="F164" s="10" t="inlineStr">
        <is>
          <t>кг</t>
        </is>
      </c>
      <c r="G164" s="11" t="n">
        <v>350</v>
      </c>
      <c r="H164" s="11">
        <f>E164*G164</f>
        <v/>
      </c>
      <c r="I164" s="10" t="inlineStr">
        <is>
          <t>R3, R4, R6</t>
        </is>
      </c>
      <c r="J164" s="10" t="inlineStr">
        <is>
          <t>tile_*</t>
        </is>
      </c>
    </row>
    <row r="165">
      <c r="A165" s="10" t="inlineStr">
        <is>
          <t>Э08</t>
        </is>
      </c>
      <c r="B165" s="10" t="inlineStr">
        <is>
          <t>СП-05</t>
        </is>
      </c>
      <c r="C165" s="10" t="n">
        <v>14</v>
      </c>
      <c r="D165" s="10" t="inlineStr">
        <is>
          <t>Система выравнивания плитки (СВП: клипсы, клинья)</t>
        </is>
      </c>
      <c r="E165" s="10" t="n">
        <v>28</v>
      </c>
      <c r="F165" s="10" t="inlineStr">
        <is>
          <t>м²</t>
        </is>
      </c>
      <c r="G165" s="11" t="n">
        <v>120</v>
      </c>
      <c r="H165" s="11">
        <f>E165*G165</f>
        <v/>
      </c>
      <c r="I165" s="10" t="inlineStr">
        <is>
          <t>R3–R6</t>
        </is>
      </c>
      <c r="J165" s="10" t="inlineStr">
        <is>
          <t>tile_*</t>
        </is>
      </c>
    </row>
    <row r="166">
      <c r="A166" s="10" t="inlineStr">
        <is>
          <t>Э08</t>
        </is>
      </c>
      <c r="B166" s="10" t="inlineStr">
        <is>
          <t>СП-05</t>
        </is>
      </c>
      <c r="C166" s="10" t="n">
        <v>15</v>
      </c>
      <c r="D166" s="10" t="inlineStr">
        <is>
          <t>Профиль латунь для плитки 10 мм (линия +1280 и обрамление ниш)</t>
        </is>
      </c>
      <c r="E166" s="10" t="n">
        <v>10.8</v>
      </c>
      <c r="F166" s="10" t="inlineStr">
        <is>
          <t>м</t>
        </is>
      </c>
      <c r="G166" s="11" t="n">
        <v>1500</v>
      </c>
      <c r="H166" s="11">
        <f>E166*G166</f>
        <v/>
      </c>
      <c r="I166" s="10" t="inlineStr">
        <is>
          <t>R5</t>
        </is>
      </c>
      <c r="J166" s="10" t="inlineStr">
        <is>
          <t>walls tile_dry (Σ длин 5.57); ниши 3.3 м; M21</t>
        </is>
      </c>
    </row>
    <row r="167">
      <c r="A167" s="10" t="inlineStr">
        <is>
          <t>Э08</t>
        </is>
      </c>
      <c r="B167" s="10" t="inlineStr">
        <is>
          <t>СП-05</t>
        </is>
      </c>
      <c r="C167" s="10" t="n">
        <v>16</v>
      </c>
      <c r="D167" s="10" t="inlineStr">
        <is>
          <t>Порог-ступень D3 из керамогранита 800×100×90 (изготовление)</t>
        </is>
      </c>
      <c r="E167" s="10" t="n">
        <v>1</v>
      </c>
      <c r="F167" s="10" t="inlineStr">
        <is>
          <t>шт</t>
        </is>
      </c>
      <c r="G167" s="11" t="n">
        <v>4500</v>
      </c>
      <c r="H167" s="11">
        <f>E167*G167</f>
        <v/>
      </c>
      <c r="I167" s="10" t="inlineStr">
        <is>
          <t>R5</t>
        </is>
      </c>
      <c r="J167" s="10" t="inlineStr">
        <is>
          <t>J5; узел 5; D20</t>
        </is>
      </c>
    </row>
    <row r="168">
      <c r="A168" s="10" t="inlineStr">
        <is>
          <t>Э08</t>
        </is>
      </c>
      <c r="B168" s="10" t="inlineStr">
        <is>
          <t>СП-05</t>
        </is>
      </c>
      <c r="C168" s="10" t="n">
        <v>17</v>
      </c>
      <c r="D168" s="10" t="inlineStr">
        <is>
          <t>Порог-ограничитель D4 800×80×15 (керамогранит/камень, скругл.)</t>
        </is>
      </c>
      <c r="E168" s="10" t="n">
        <v>1</v>
      </c>
      <c r="F168" s="10" t="inlineStr">
        <is>
          <t>шт</t>
        </is>
      </c>
      <c r="G168" s="11" t="n">
        <v>2500</v>
      </c>
      <c r="H168" s="11">
        <f>E168*G168</f>
        <v/>
      </c>
      <c r="I168" s="10" t="inlineStr">
        <is>
          <t>R6</t>
        </is>
      </c>
      <c r="J168" s="10" t="inlineStr">
        <is>
          <t>J6; D4</t>
        </is>
      </c>
    </row>
    <row r="169">
      <c r="A169" s="10" t="inlineStr">
        <is>
          <t>Э06</t>
        </is>
      </c>
      <c r="B169" s="10" t="inlineStr">
        <is>
          <t>СП-05</t>
        </is>
      </c>
      <c r="C169" s="10" t="n">
        <v>18</v>
      </c>
      <c r="D169" s="10" t="inlineStr">
        <is>
          <t>Гидроизоляция обмазочная 2-компонентная (2 слоя, 2,8 кг/м²; пол ванной — нижняя + основная)</t>
        </is>
      </c>
      <c r="E169" s="10">
        <f>CEILING(26.56*2.8,1)</f>
        <v/>
      </c>
      <c r="F169" s="10" t="inlineStr">
        <is>
          <t>кг</t>
        </is>
      </c>
      <c r="G169" s="11" t="n">
        <v>420</v>
      </c>
      <c r="H169" s="11">
        <f>E169*G169</f>
        <v/>
      </c>
      <c r="I169" s="10" t="inlineStr">
        <is>
          <t>R5, R6</t>
        </is>
      </c>
      <c r="J169" s="10" t="inlineStr">
        <is>
          <t>floors waterproofing_floor ×(2 в R5) + waterproofing_walls = 26.56 м²</t>
        </is>
      </c>
    </row>
    <row r="170">
      <c r="A170" s="10" t="inlineStr">
        <is>
          <t>Э06</t>
        </is>
      </c>
      <c r="B170" s="10" t="inlineStr">
        <is>
          <t>СП-05</t>
        </is>
      </c>
      <c r="C170" s="10" t="n">
        <v>19</v>
      </c>
      <c r="D170" s="10" t="inlineStr">
        <is>
          <t>Ленты, углы, манжеты, фланец трапа (комплект на помещение)</t>
        </is>
      </c>
      <c r="E170" s="10" t="n">
        <v>2</v>
      </c>
      <c r="F170" s="10" t="inlineStr">
        <is>
          <t>компл</t>
        </is>
      </c>
      <c r="G170" s="11" t="n">
        <v>6500</v>
      </c>
      <c r="H170" s="11">
        <f>E170*G170</f>
        <v/>
      </c>
      <c r="I170" s="10" t="inlineStr">
        <is>
          <t>R5, R6</t>
        </is>
      </c>
      <c r="J170" s="10" t="inlineStr">
        <is>
          <t>узел 6</t>
        </is>
      </c>
    </row>
    <row r="171">
      <c r="A171" s="10" t="inlineStr">
        <is>
          <t>Э06</t>
        </is>
      </c>
      <c r="B171" s="10" t="inlineStr">
        <is>
          <t>СП-05</t>
        </is>
      </c>
      <c r="C171" s="10" t="n">
        <v>20</v>
      </c>
      <c r="D171" s="10" t="inlineStr">
        <is>
          <t>ЦПС М300 (подиум ванной 78,5 мм, фибра)</t>
        </is>
      </c>
      <c r="E171" s="10">
        <f>CEILING(5.1*0.0785*2000/40,1)</f>
        <v/>
      </c>
      <c r="F171" s="10" t="inlineStr">
        <is>
          <t>меш. 40 кг</t>
        </is>
      </c>
      <c r="G171" s="11" t="n">
        <v>380</v>
      </c>
      <c r="H171" s="11">
        <f>E171*G171</f>
        <v/>
      </c>
      <c r="I171" s="10" t="inlineStr">
        <is>
          <t>R5</t>
        </is>
      </c>
      <c r="J171" s="10" t="inlineStr">
        <is>
          <t>floors podium_screed_80; P-BATH</t>
        </is>
      </c>
    </row>
    <row r="172">
      <c r="A172" s="10" t="inlineStr">
        <is>
          <t>Э06</t>
        </is>
      </c>
      <c r="B172" s="10" t="inlineStr">
        <is>
          <t>СП-05</t>
        </is>
      </c>
      <c r="C172" s="10" t="n">
        <v>21</v>
      </c>
      <c r="D172" s="10" t="inlineStr">
        <is>
          <t>Сетка Вр4 50×50 + фибра + демпферная лента (подиум, стяжка балкона)</t>
        </is>
      </c>
      <c r="E172" s="10" t="n">
        <v>14</v>
      </c>
      <c r="F172" s="10" t="inlineStr">
        <is>
          <t>м²</t>
        </is>
      </c>
      <c r="G172" s="11" t="n">
        <v>380</v>
      </c>
      <c r="H172" s="11">
        <f>E172*G172</f>
        <v/>
      </c>
      <c r="I172" s="10" t="inlineStr">
        <is>
          <t>R5, R7</t>
        </is>
      </c>
      <c r="J172" s="10" t="inlineStr">
        <is>
          <t>P-BATH, P-BALC; периметры R5 9.36 м, R7 10.67 м</t>
        </is>
      </c>
    </row>
    <row r="173">
      <c r="A173" s="10" t="inlineStr">
        <is>
          <t>Э06</t>
        </is>
      </c>
      <c r="B173" s="10" t="inlineStr">
        <is>
          <t>СП-05</t>
        </is>
      </c>
      <c r="C173" s="10" t="n">
        <v>22</v>
      </c>
      <c r="D173" s="10" t="inlineStr">
        <is>
          <t>Рамка-бортик U14 (ЦСП 20 / уголок нерж.)</t>
        </is>
      </c>
      <c r="E173" s="10" t="n">
        <v>1</v>
      </c>
      <c r="F173" s="10" t="inlineStr">
        <is>
          <t>шт</t>
        </is>
      </c>
      <c r="G173" s="11" t="n">
        <v>2500</v>
      </c>
      <c r="H173" s="11">
        <f>E173*G173</f>
        <v/>
      </c>
      <c r="I173" s="10" t="inlineStr">
        <is>
          <t>R5</t>
        </is>
      </c>
      <c r="J173" s="10" t="inlineStr">
        <is>
          <t>VK-C3; J7; узел 6</t>
        </is>
      </c>
    </row>
    <row r="174">
      <c r="A174" s="10" t="inlineStr">
        <is>
          <t>Э06</t>
        </is>
      </c>
      <c r="B174" s="10" t="inlineStr">
        <is>
          <t>СП-05</t>
        </is>
      </c>
      <c r="C174" s="10" t="n">
        <v>23</v>
      </c>
      <c r="D174" s="10" t="inlineStr">
        <is>
          <t>XPS 300 кПа 50 мм (пол балкона)</t>
        </is>
      </c>
      <c r="E174" s="10" t="n">
        <v>7.92</v>
      </c>
      <c r="F174" s="10" t="inlineStr">
        <is>
          <t>м²</t>
        </is>
      </c>
      <c r="G174" s="11" t="n">
        <v>650</v>
      </c>
      <c r="H174" s="11">
        <f>E174*G174</f>
        <v/>
      </c>
      <c r="I174" s="10" t="inlineStr">
        <is>
          <t>R7</t>
        </is>
      </c>
      <c r="J174" s="10" t="inlineStr">
        <is>
          <t>floors xps50+screed55; P-BALC; D22</t>
        </is>
      </c>
    </row>
    <row r="175">
      <c r="A175" s="10" t="inlineStr">
        <is>
          <t>Э06</t>
        </is>
      </c>
      <c r="B175" s="10" t="inlineStr">
        <is>
          <t>СП-05</t>
        </is>
      </c>
      <c r="C175" s="10" t="n">
        <v>24</v>
      </c>
      <c r="D175" s="10" t="inlineStr">
        <is>
          <t>Плёнка ПЭ 200 мкм (нахлёст 100, завод на стены)</t>
        </is>
      </c>
      <c r="E175" s="10" t="n">
        <v>9</v>
      </c>
      <c r="F175" s="10" t="inlineStr">
        <is>
          <t>м²</t>
        </is>
      </c>
      <c r="G175" s="11" t="n">
        <v>45</v>
      </c>
      <c r="H175" s="11">
        <f>E175*G175</f>
        <v/>
      </c>
      <c r="I175" s="10" t="inlineStr">
        <is>
          <t>R7</t>
        </is>
      </c>
      <c r="J175" s="10" t="inlineStr">
        <is>
          <t>P-BALC</t>
        </is>
      </c>
    </row>
    <row r="176">
      <c r="A176" s="10" t="inlineStr">
        <is>
          <t>Э06</t>
        </is>
      </c>
      <c r="B176" s="10" t="inlineStr">
        <is>
          <t>СП-05</t>
        </is>
      </c>
      <c r="C176" s="10" t="n">
        <v>25</v>
      </c>
      <c r="D176" s="10" t="inlineStr">
        <is>
          <t>ЦПС М300 (стяжка балкона 55 мм)</t>
        </is>
      </c>
      <c r="E176" s="10">
        <f>CEILING(6.86*0.055*2000/40,1)</f>
        <v/>
      </c>
      <c r="F176" s="10" t="inlineStr">
        <is>
          <t>меш. 40 кг</t>
        </is>
      </c>
      <c r="G176" s="11" t="n">
        <v>380</v>
      </c>
      <c r="H176" s="11">
        <f>E176*G176</f>
        <v/>
      </c>
      <c r="I176" s="10" t="inlineStr">
        <is>
          <t>R7</t>
        </is>
      </c>
      <c r="J176" s="10" t="inlineStr">
        <is>
          <t>P-BALC</t>
        </is>
      </c>
    </row>
    <row r="177">
      <c r="A177" s="10" t="inlineStr">
        <is>
          <t>Э06</t>
        </is>
      </c>
      <c r="B177" s="10" t="inlineStr">
        <is>
          <t>СП-05</t>
        </is>
      </c>
      <c r="C177" s="10" t="n">
        <v>26</v>
      </c>
      <c r="D177" s="10" t="inlineStr">
        <is>
          <t>Самовыравнивающая смесь 10 мм по мату TP3 (16 кг/м²)</t>
        </is>
      </c>
      <c r="E177" s="10" t="n">
        <v>5</v>
      </c>
      <c r="F177" s="10" t="inlineStr">
        <is>
          <t>меш. 25 кг</t>
        </is>
      </c>
      <c r="G177" s="11" t="n">
        <v>950</v>
      </c>
      <c r="H177" s="11">
        <f>E177*G177</f>
        <v/>
      </c>
      <c r="I177" s="10" t="inlineStr">
        <is>
          <t>R7</t>
        </is>
      </c>
      <c r="J177" s="10" t="inlineStr">
        <is>
          <t>P-BALC</t>
        </is>
      </c>
    </row>
    <row r="178">
      <c r="A178" s="10" t="inlineStr">
        <is>
          <t>Э03</t>
        </is>
      </c>
      <c r="B178" s="10" t="inlineStr">
        <is>
          <t>СП-05</t>
        </is>
      </c>
      <c r="C178" s="10" t="n">
        <v>27</v>
      </c>
      <c r="D178" s="10" t="inlineStr">
        <is>
          <t>Остекление балкона тёплое ПВХ 70 мм, 2-камерный энергосберегающий стеклопакет, наружное стекло триплекс P2A, фурнитура с детским замком, отливы, подоконник</t>
        </is>
      </c>
      <c r="E178" s="10" t="n">
        <v>10.5</v>
      </c>
      <c r="F178" s="10" t="inlineStr">
        <is>
          <t>м²</t>
        </is>
      </c>
      <c r="G178" s="11" t="n">
        <v>21000</v>
      </c>
      <c r="H178" s="11">
        <f>E178*G178</f>
        <v/>
      </c>
      <c r="I178" s="10" t="inlineStr">
        <is>
          <t>R7</t>
        </is>
      </c>
      <c r="J178" s="10" t="inlineStr">
        <is>
          <t>electrical.json balcony_heat_balance (остекление 10,5 м²); M32; №12</t>
        </is>
      </c>
    </row>
    <row r="179">
      <c r="A179" s="10" t="inlineStr">
        <is>
          <t>Э03</t>
        </is>
      </c>
      <c r="B179" s="10" t="inlineStr">
        <is>
          <t>СП-05</t>
        </is>
      </c>
      <c r="C179" s="10" t="n">
        <v>28</v>
      </c>
      <c r="D179" s="10" t="inlineStr">
        <is>
          <t>Оконный приточный клапан в раме (гигрорегулируемый)</t>
        </is>
      </c>
      <c r="E179" s="10" t="n">
        <v>2</v>
      </c>
      <c r="F179" s="10" t="inlineStr">
        <is>
          <t>шт</t>
        </is>
      </c>
      <c r="G179" s="11" t="n">
        <v>3500</v>
      </c>
      <c r="H179" s="11">
        <f>E179*G179</f>
        <v/>
      </c>
      <c r="I179" s="10" t="inlineStr">
        <is>
          <t>R7</t>
        </is>
      </c>
      <c r="J179" s="10" t="inlineStr">
        <is>
          <t>SV1, SV2; ОВ-02</t>
        </is>
      </c>
    </row>
    <row r="180">
      <c r="A180" s="10" t="inlineStr">
        <is>
          <t>Э03</t>
        </is>
      </c>
      <c r="B180" s="10" t="inlineStr">
        <is>
          <t>СП-05</t>
        </is>
      </c>
      <c r="C180" s="10" t="n">
        <v>29</v>
      </c>
      <c r="D180" s="10" t="inlineStr">
        <is>
          <t>Утеплитель PIR 50 фольгированный (парапеты, потолок балкона)</t>
        </is>
      </c>
      <c r="E180" s="10" t="n">
        <v>14.4</v>
      </c>
      <c r="F180" s="10" t="inlineStr">
        <is>
          <t>м²</t>
        </is>
      </c>
      <c r="G180" s="11" t="n">
        <v>1050</v>
      </c>
      <c r="H180" s="11">
        <f>E180*G180</f>
        <v/>
      </c>
      <c r="I180" s="10" t="inlineStr">
        <is>
          <t>R7</t>
        </is>
      </c>
      <c r="J180" s="10" t="inlineStr">
        <is>
          <t>walls gvl+paint_c6 7.05 + ceilings R7 6.08; M29, M30</t>
        </is>
      </c>
    </row>
    <row r="181">
      <c r="A181" s="10" t="inlineStr">
        <is>
          <t>Э03</t>
        </is>
      </c>
      <c r="B181" s="10" t="inlineStr">
        <is>
          <t>СП-05</t>
        </is>
      </c>
      <c r="C181" s="10" t="n">
        <v>30</v>
      </c>
      <c r="D181" s="10" t="inlineStr">
        <is>
          <t>Лента алюминиевая, пароизоляция примыканий, пена</t>
        </is>
      </c>
      <c r="E181" s="10" t="n">
        <v>1</v>
      </c>
      <c r="F181" s="10" t="inlineStr">
        <is>
          <t>компл</t>
        </is>
      </c>
      <c r="G181" s="11" t="n">
        <v>4500</v>
      </c>
      <c r="H181" s="11">
        <f>E181*G181</f>
        <v/>
      </c>
      <c r="I181" s="10" t="inlineStr">
        <is>
          <t>R7</t>
        </is>
      </c>
      <c r="J181" s="10" t="inlineStr">
        <is>
          <t>M29</t>
        </is>
      </c>
    </row>
    <row r="182">
      <c r="A182" s="10" t="inlineStr">
        <is>
          <t>Э03</t>
        </is>
      </c>
      <c r="B182" s="10" t="inlineStr">
        <is>
          <t>СП-05</t>
        </is>
      </c>
      <c r="C182" s="10" t="n">
        <v>31</v>
      </c>
      <c r="D182" s="10" t="inlineStr">
        <is>
          <t>ГВЛ 12,5 (обшивка парапетов) 2500×1200</t>
        </is>
      </c>
      <c r="E182" s="10" t="n">
        <v>3</v>
      </c>
      <c r="F182" s="10" t="inlineStr">
        <is>
          <t>лист</t>
        </is>
      </c>
      <c r="G182" s="11" t="n">
        <v>780</v>
      </c>
      <c r="H182" s="11">
        <f>E182*G182</f>
        <v/>
      </c>
      <c r="I182" s="10" t="inlineStr">
        <is>
          <t>R7</t>
        </is>
      </c>
      <c r="J182" s="10" t="inlineStr">
        <is>
          <t>walls gvl+paint_c6</t>
        </is>
      </c>
    </row>
    <row r="183">
      <c r="A183" s="10" t="inlineStr">
        <is>
          <t>Э03</t>
        </is>
      </c>
      <c r="B183" s="10" t="inlineStr">
        <is>
          <t>СП-05</t>
        </is>
      </c>
      <c r="C183" s="10" t="n">
        <v>32</v>
      </c>
      <c r="D183" s="10" t="inlineStr">
        <is>
          <t>Каркас для обшивки парапетов (ПП 60/27, ПН, подвесы, крепёж)</t>
        </is>
      </c>
      <c r="E183" s="10" t="n">
        <v>8</v>
      </c>
      <c r="F183" s="10" t="inlineStr">
        <is>
          <t>м²</t>
        </is>
      </c>
      <c r="G183" s="11" t="n">
        <v>450</v>
      </c>
      <c r="H183" s="11">
        <f>E183*G183</f>
        <v/>
      </c>
      <c r="I183" s="10" t="inlineStr">
        <is>
          <t>R7</t>
        </is>
      </c>
      <c r="J183" s="10" t="inlineStr">
        <is>
          <t>walls gvl+paint_c6</t>
        </is>
      </c>
    </row>
    <row r="184">
      <c r="A184" s="10" t="inlineStr">
        <is>
          <t>Э02</t>
        </is>
      </c>
      <c r="B184" s="10" t="inlineStr">
        <is>
          <t>СП-05</t>
        </is>
      </c>
      <c r="C184" s="10" t="n">
        <v>33</v>
      </c>
      <c r="D184" s="10" t="inlineStr">
        <is>
          <t>ПГП полнотелая 667×500×100 (NW1)</t>
        </is>
      </c>
      <c r="E184" s="10" t="n">
        <v>16</v>
      </c>
      <c r="F184" s="10" t="inlineStr">
        <is>
          <t>шт</t>
        </is>
      </c>
      <c r="G184" s="11" t="n">
        <v>520</v>
      </c>
      <c r="H184" s="11">
        <f>E184*G184</f>
        <v/>
      </c>
      <c r="I184" s="10" t="inlineStr">
        <is>
          <t>R1/R3</t>
        </is>
      </c>
      <c r="J184" s="10" t="inlineStr">
        <is>
          <t>NW1 4.87 м²; planning.json new_walls</t>
        </is>
      </c>
    </row>
    <row r="185">
      <c r="A185" s="10" t="inlineStr">
        <is>
          <t>Э02</t>
        </is>
      </c>
      <c r="B185" s="10" t="inlineStr">
        <is>
          <t>СП-05</t>
        </is>
      </c>
      <c r="C185" s="10" t="n">
        <v>34</v>
      </c>
      <c r="D185" s="10" t="inlineStr">
        <is>
          <t>ПГП полнотелая 667×500×80 (NW4, добор D1)</t>
        </is>
      </c>
      <c r="E185" s="10" t="n">
        <v>7</v>
      </c>
      <c r="F185" s="10" t="inlineStr">
        <is>
          <t>шт</t>
        </is>
      </c>
      <c r="G185" s="11" t="n">
        <v>400</v>
      </c>
      <c r="H185" s="11">
        <f>E185*G185</f>
        <v/>
      </c>
      <c r="I185" s="10" t="inlineStr">
        <is>
          <t>R2/R4, R1</t>
        </is>
      </c>
      <c r="J185" s="10" t="inlineStr">
        <is>
          <t>NW4 1.66 м² (за вычетом проёма D2) + добор 199 0.54 м²</t>
        </is>
      </c>
    </row>
    <row r="186">
      <c r="A186" s="10" t="inlineStr">
        <is>
          <t>Э02</t>
        </is>
      </c>
      <c r="B186" s="10" t="inlineStr">
        <is>
          <t>СП-05</t>
        </is>
      </c>
      <c r="C186" s="10" t="n">
        <v>35</v>
      </c>
      <c r="D186" s="10" t="inlineStr">
        <is>
          <t>ПГП гидрофобизированная 667×500×80 (NW8, NW9)</t>
        </is>
      </c>
      <c r="E186" s="10" t="n">
        <v>7</v>
      </c>
      <c r="F186" s="10" t="inlineStr">
        <is>
          <t>шт</t>
        </is>
      </c>
      <c r="G186" s="11" t="n">
        <v>450</v>
      </c>
      <c r="H186" s="11">
        <f>E186*G186</f>
        <v/>
      </c>
      <c r="I186" s="10" t="inlineStr">
        <is>
          <t>R5, R6</t>
        </is>
      </c>
      <c r="J186" s="10" t="inlineStr">
        <is>
          <t>NW8 1.01 + NW9 1.13 м²</t>
        </is>
      </c>
    </row>
    <row r="187">
      <c r="A187" s="10" t="inlineStr">
        <is>
          <t>Э02</t>
        </is>
      </c>
      <c r="B187" s="10" t="inlineStr">
        <is>
          <t>СП-05</t>
        </is>
      </c>
      <c r="C187" s="10" t="n">
        <v>36</v>
      </c>
      <c r="D187" s="10" t="inlineStr">
        <is>
          <t>Клей гипсовый монтажный для ПГП (2 кг/м²) + ГКЛ на клей NW1</t>
        </is>
      </c>
      <c r="E187" s="10" t="n">
        <v>2</v>
      </c>
      <c r="F187" s="10" t="inlineStr">
        <is>
          <t>меш. 30 кг</t>
        </is>
      </c>
      <c r="G187" s="11" t="n">
        <v>620</v>
      </c>
      <c r="H187" s="11">
        <f>E187*G187</f>
        <v/>
      </c>
      <c r="I187" s="10" t="inlineStr">
        <is>
          <t>—</t>
        </is>
      </c>
      <c r="J187" s="10" t="inlineStr">
        <is>
          <t>new_walls</t>
        </is>
      </c>
    </row>
    <row r="188">
      <c r="A188" s="10" t="inlineStr">
        <is>
          <t>Э02</t>
        </is>
      </c>
      <c r="B188" s="10" t="inlineStr">
        <is>
          <t>СП-05</t>
        </is>
      </c>
      <c r="C188" s="10" t="n">
        <v>37</v>
      </c>
      <c r="D188" s="10" t="inlineStr">
        <is>
          <t>Лента демпферная 10 мм + скобы/гибкие связи (без дюбелей в пол, D3)</t>
        </is>
      </c>
      <c r="E188" s="10" t="n">
        <v>31</v>
      </c>
      <c r="F188" s="10" t="inlineStr">
        <is>
          <t>м</t>
        </is>
      </c>
      <c r="G188" s="11" t="n">
        <v>120</v>
      </c>
      <c r="H188" s="11">
        <f>E188*G188</f>
        <v/>
      </c>
      <c r="I188" s="10" t="inlineStr">
        <is>
          <t>—</t>
        </is>
      </c>
      <c r="J188" s="10" t="inlineStr">
        <is>
          <t>new_walls: периметры NW1, NW4, NW8, NW9 = 30.18 м</t>
        </is>
      </c>
    </row>
    <row r="189">
      <c r="A189" s="10" t="inlineStr">
        <is>
          <t>Э02</t>
        </is>
      </c>
      <c r="B189" s="10" t="inlineStr">
        <is>
          <t>СП-05</t>
        </is>
      </c>
      <c r="C189" s="10" t="n">
        <v>38</v>
      </c>
      <c r="D189" s="10" t="inlineStr">
        <is>
          <t>Перемычка (уголок) над новыми проёмами D3, D4</t>
        </is>
      </c>
      <c r="E189" s="10" t="n">
        <v>2</v>
      </c>
      <c r="F189" s="10" t="inlineStr">
        <is>
          <t>шт</t>
        </is>
      </c>
      <c r="G189" s="11" t="n">
        <v>1200</v>
      </c>
      <c r="H189" s="11">
        <f>E189*G189</f>
        <v/>
      </c>
      <c r="I189" s="10" t="inlineStr">
        <is>
          <t>R5, R6</t>
        </is>
      </c>
      <c r="J189" s="10" t="inlineStr">
        <is>
          <t>W12-cut, W11-cut</t>
        </is>
      </c>
    </row>
    <row r="190">
      <c r="A190" s="10" t="inlineStr">
        <is>
          <t>Э02</t>
        </is>
      </c>
      <c r="B190" s="10" t="inlineStr">
        <is>
          <t>СП-05</t>
        </is>
      </c>
      <c r="C190" s="10" t="n">
        <v>39</v>
      </c>
      <c r="D190" s="10" t="inlineStr">
        <is>
          <t>ГКЛ 12,5 2500×1200 (облицовка W7, NW1 со стороны кухни, зашивка O1 в 2 слоя)</t>
        </is>
      </c>
      <c r="E190" s="10" t="n">
        <v>9</v>
      </c>
      <c r="F190" s="10" t="inlineStr">
        <is>
          <t>лист</t>
        </is>
      </c>
      <c r="G190" s="11" t="n">
        <v>560</v>
      </c>
      <c r="H190" s="11">
        <f>E190*G190</f>
        <v/>
      </c>
      <c r="I190" s="10" t="inlineStr">
        <is>
          <t>R1, R3</t>
        </is>
      </c>
      <c r="J190" s="10" t="inlineStr">
        <is>
          <t>W7 11.05 + NW1 4.87 + O1 2×2.98 м²</t>
        </is>
      </c>
    </row>
    <row r="191">
      <c r="A191" s="10" t="inlineStr">
        <is>
          <t>Э02</t>
        </is>
      </c>
      <c r="B191" s="10" t="inlineStr">
        <is>
          <t>СП-05</t>
        </is>
      </c>
      <c r="C191" s="10" t="n">
        <v>40</v>
      </c>
      <c r="D191" s="10" t="inlineStr">
        <is>
          <t>Каркас стенных облицовок (ПП 60/27, ПН, подвесы; VK-C1 — стальной/ПП усиленный)</t>
        </is>
      </c>
      <c r="E191" s="10" t="n">
        <v>20</v>
      </c>
      <c r="F191" s="10" t="inlineStr">
        <is>
          <t>м²</t>
        </is>
      </c>
      <c r="G191" s="11" t="n">
        <v>520</v>
      </c>
      <c r="H191" s="11">
        <f>E191*G191</f>
        <v/>
      </c>
      <c r="I191" s="10" t="inlineStr">
        <is>
          <t>R1, R5</t>
        </is>
      </c>
      <c r="J191" s="10" t="inlineStr">
        <is>
          <t>W7, O1, VK-C1 2.29, короб инсталляции 1.35, экран 1.02, VK-C2 0.66</t>
        </is>
      </c>
    </row>
    <row r="192">
      <c r="A192" s="10" t="inlineStr">
        <is>
          <t>Э02</t>
        </is>
      </c>
      <c r="B192" s="10" t="inlineStr">
        <is>
          <t>СП-05</t>
        </is>
      </c>
      <c r="C192" s="10" t="n">
        <v>41</v>
      </c>
      <c r="D192" s="10" t="inlineStr">
        <is>
          <t>ГВЛВ/ЦСП 12,5 (облицовка душа VK-C1, короб инсталляции, экран ванны, VK-C2 — 2 слоя)</t>
        </is>
      </c>
      <c r="E192" s="10" t="n">
        <v>5</v>
      </c>
      <c r="F192" s="10" t="inlineStr">
        <is>
          <t>лист</t>
        </is>
      </c>
      <c r="G192" s="11" t="n">
        <v>950</v>
      </c>
      <c r="H192" s="11">
        <f>E192*G192</f>
        <v/>
      </c>
      <c r="I192" s="10" t="inlineStr">
        <is>
          <t>R5</t>
        </is>
      </c>
      <c r="J192" s="10" t="inlineStr">
        <is>
          <t>VK-C1 (F90), VK-C2, F69, экран ванны</t>
        </is>
      </c>
    </row>
    <row r="193">
      <c r="A193" s="10" t="inlineStr">
        <is>
          <t>Э02</t>
        </is>
      </c>
      <c r="B193" s="10" t="inlineStr">
        <is>
          <t>СП-05</t>
        </is>
      </c>
      <c r="C193" s="10" t="n">
        <v>42</v>
      </c>
      <c r="D193" s="10" t="inlineStr">
        <is>
          <t>Минвата 100 + пароизоляция с проклейкой (зашивка O1)</t>
        </is>
      </c>
      <c r="E193" s="10" t="n">
        <v>4</v>
      </c>
      <c r="F193" s="10" t="inlineStr">
        <is>
          <t>м²</t>
        </is>
      </c>
      <c r="G193" s="11" t="n">
        <v>650</v>
      </c>
      <c r="H193" s="11">
        <f>E193*G193</f>
        <v/>
      </c>
      <c r="I193" s="10" t="inlineStr">
        <is>
          <t>R1</t>
        </is>
      </c>
      <c r="J193" s="10" t="inlineStr">
        <is>
          <t>window_infill O1 2.98 м²; узел 8</t>
        </is>
      </c>
    </row>
    <row r="194">
      <c r="A194" s="10" t="inlineStr">
        <is>
          <t>Э09</t>
        </is>
      </c>
      <c r="B194" s="10" t="inlineStr">
        <is>
          <t>СП-05</t>
        </is>
      </c>
      <c r="C194" s="10" t="n">
        <v>43</v>
      </c>
      <c r="D194" s="10" t="inlineStr">
        <is>
          <t>ГКЛ 12,5 2500×1200 (потолки, короба CB-1…CB-3, ниши штор)</t>
        </is>
      </c>
      <c r="E194" s="10" t="n">
        <v>22</v>
      </c>
      <c r="F194" s="10" t="inlineStr">
        <is>
          <t>лист</t>
        </is>
      </c>
      <c r="G194" s="11" t="n">
        <v>560</v>
      </c>
      <c r="H194" s="11">
        <f>E194*G194</f>
        <v/>
      </c>
      <c r="I194" s="10" t="inlineStr">
        <is>
          <t>R1–R4</t>
        </is>
      </c>
      <c r="J194" s="10" t="inlineStr">
        <is>
          <t>ceilings gkl_* 48.97 + box 4.57×1,5 + niche 2.4</t>
        </is>
      </c>
    </row>
    <row r="195">
      <c r="A195" s="10" t="inlineStr">
        <is>
          <t>Э09</t>
        </is>
      </c>
      <c r="B195" s="10" t="inlineStr">
        <is>
          <t>СП-05</t>
        </is>
      </c>
      <c r="C195" s="10" t="n">
        <v>44</v>
      </c>
      <c r="D195" s="10" t="inlineStr">
        <is>
          <t>ГКЛВ 12,5 2500×1200 (потолки ванной, постирочной, балкона)</t>
        </is>
      </c>
      <c r="E195" s="10" t="n">
        <v>5</v>
      </c>
      <c r="F195" s="10" t="inlineStr">
        <is>
          <t>лист</t>
        </is>
      </c>
      <c r="G195" s="11" t="n">
        <v>650</v>
      </c>
      <c r="H195" s="11">
        <f>E195*G195</f>
        <v/>
      </c>
      <c r="I195" s="10" t="inlineStr">
        <is>
          <t>R5–R7</t>
        </is>
      </c>
      <c r="J195" s="10" t="inlineStr">
        <is>
          <t>ceilings gklv_* 8.29 + 5.07</t>
        </is>
      </c>
    </row>
    <row r="196">
      <c r="A196" s="10" t="inlineStr">
        <is>
          <t>Э09</t>
        </is>
      </c>
      <c r="B196" s="10" t="inlineStr">
        <is>
          <t>СП-05</t>
        </is>
      </c>
      <c r="C196" s="10" t="n">
        <v>45</v>
      </c>
      <c r="D196" s="10" t="inlineStr">
        <is>
          <t>Каркас потолков (ПП 60/27, ПН 28/27, прямые подвесы, крабы, анкеры)</t>
        </is>
      </c>
      <c r="E196" s="10" t="n">
        <v>70</v>
      </c>
      <c r="F196" s="10" t="inlineStr">
        <is>
          <t>м²</t>
        </is>
      </c>
      <c r="G196" s="11" t="n">
        <v>550</v>
      </c>
      <c r="H196" s="11">
        <f>E196*G196</f>
        <v/>
      </c>
      <c r="I196" s="10" t="inlineStr">
        <is>
          <t>все</t>
        </is>
      </c>
      <c r="J196" s="10" t="inlineStr">
        <is>
          <t>ceilings Σ 69.3 м²</t>
        </is>
      </c>
    </row>
    <row r="197">
      <c r="A197" s="10" t="inlineStr">
        <is>
          <t>Э09</t>
        </is>
      </c>
      <c r="B197" s="10" t="inlineStr">
        <is>
          <t>СП-05</t>
        </is>
      </c>
      <c r="C197" s="10" t="n">
        <v>46</v>
      </c>
      <c r="D197" s="10" t="inlineStr">
        <is>
          <t>Теневой профиль 10×10 алюминиевый под окраску</t>
        </is>
      </c>
      <c r="E197" s="10" t="n">
        <v>18</v>
      </c>
      <c r="F197" s="10" t="inlineStr">
        <is>
          <t>м</t>
        </is>
      </c>
      <c r="G197" s="11" t="n">
        <v>650</v>
      </c>
      <c r="H197" s="11">
        <f>E197*G197</f>
        <v/>
      </c>
      <c r="I197" s="10" t="inlineStr">
        <is>
          <t>R5, R6, R7</t>
        </is>
      </c>
      <c r="J197" s="10" t="inlineStr">
        <is>
          <t>linear shadow_profile; ceilings shadow_profiles</t>
        </is>
      </c>
    </row>
    <row r="198">
      <c r="A198" s="10" t="inlineStr">
        <is>
          <t>Э09</t>
        </is>
      </c>
      <c r="B198" s="10" t="inlineStr">
        <is>
          <t>СП-05</t>
        </is>
      </c>
      <c r="C198" s="10" t="n">
        <v>47</v>
      </c>
      <c r="D198" s="10" t="inlineStr">
        <is>
          <t>HC-1: люк-невидимка под покраску, влагостойкий, с уплотнителем 300×300</t>
        </is>
      </c>
      <c r="E198" s="10" t="n">
        <v>1</v>
      </c>
      <c r="F198" s="10" t="inlineStr">
        <is>
          <t>шт</t>
        </is>
      </c>
      <c r="G198" s="11" t="n">
        <v>4500</v>
      </c>
      <c r="H198" s="11">
        <f>E198*G198</f>
        <v/>
      </c>
      <c r="I198" s="10" t="inlineStr">
        <is>
          <t>R5</t>
        </is>
      </c>
      <c r="J198" s="10" t="inlineStr">
        <is>
          <t>HC-1; ceilings.json</t>
        </is>
      </c>
    </row>
    <row r="199">
      <c r="A199" s="10" t="inlineStr">
        <is>
          <t>Э09</t>
        </is>
      </c>
      <c r="B199" s="10" t="inlineStr">
        <is>
          <t>СП-05</t>
        </is>
      </c>
      <c r="C199" s="10" t="n">
        <v>48</v>
      </c>
      <c r="D199" s="10" t="inlineStr">
        <is>
          <t>HC-2: съёмная вентрешётка в низе короба CB-2 210×150</t>
        </is>
      </c>
      <c r="E199" s="10" t="n">
        <v>1</v>
      </c>
      <c r="F199" s="10" t="inlineStr">
        <is>
          <t>шт</t>
        </is>
      </c>
      <c r="G199" s="11" t="n">
        <v>1800</v>
      </c>
      <c r="H199" s="11">
        <f>E199*G199</f>
        <v/>
      </c>
      <c r="I199" s="10" t="inlineStr">
        <is>
          <t>R3</t>
        </is>
      </c>
      <c r="J199" s="10" t="inlineStr">
        <is>
          <t>HC-2; ceilings.json</t>
        </is>
      </c>
    </row>
    <row r="200">
      <c r="A200" s="10" t="inlineStr">
        <is>
          <t>Э07</t>
        </is>
      </c>
      <c r="B200" s="10" t="inlineStr">
        <is>
          <t>СП-05</t>
        </is>
      </c>
      <c r="C200" s="10" t="n">
        <v>49</v>
      </c>
      <c r="D200" s="10" t="inlineStr">
        <is>
          <t>Штукатурка гипсовая по маякам (ср. 15 мм, 13,5 кг/м²)</t>
        </is>
      </c>
      <c r="E200" s="10">
        <f>CEILING(118.4*13.5/30,1)</f>
        <v/>
      </c>
      <c r="F200" s="10" t="inlineStr">
        <is>
          <t>меш. 30 кг</t>
        </is>
      </c>
      <c r="G200" s="11" t="n">
        <v>640</v>
      </c>
      <c r="H200" s="11">
        <f>E200*G200</f>
        <v/>
      </c>
      <c r="I200" s="10" t="inlineStr">
        <is>
          <t>R1–R4, R7</t>
        </is>
      </c>
      <c r="J200" s="10" t="inlineStr">
        <is>
          <t>walls (gross − проёмы, без каркасных облицовок) = 118.4 м²</t>
        </is>
      </c>
    </row>
    <row r="201">
      <c r="A201" s="10" t="inlineStr">
        <is>
          <t>Э07</t>
        </is>
      </c>
      <c r="B201" s="10" t="inlineStr">
        <is>
          <t>СП-05</t>
        </is>
      </c>
      <c r="C201" s="10" t="n">
        <v>50</v>
      </c>
      <c r="D201" s="10" t="inlineStr">
        <is>
          <t>Штукатурка цементная для влажных помещений (ср. 15 мм, 18 кг/м²)</t>
        </is>
      </c>
      <c r="E201" s="10">
        <f>CEILING(33.89*18/25,1)</f>
        <v/>
      </c>
      <c r="F201" s="10" t="inlineStr">
        <is>
          <t>меш. 25 кг</t>
        </is>
      </c>
      <c r="G201" s="11" t="n">
        <v>520</v>
      </c>
      <c r="H201" s="11">
        <f>E201*G201</f>
        <v/>
      </c>
      <c r="I201" s="10" t="inlineStr">
        <is>
          <t>R5, R6</t>
        </is>
      </c>
      <c r="J201" s="10" t="inlineStr">
        <is>
          <t>walls R5, R6 = 33.89 м²</t>
        </is>
      </c>
    </row>
    <row r="202">
      <c r="A202" s="10" t="inlineStr">
        <is>
          <t>Э07</t>
        </is>
      </c>
      <c r="B202" s="10" t="inlineStr">
        <is>
          <t>СП-05</t>
        </is>
      </c>
      <c r="C202" s="10" t="n">
        <v>51</v>
      </c>
      <c r="D202" s="10" t="inlineStr">
        <is>
          <t>Маяки 6 мм 3 м + уголки штукатурные для откосов</t>
        </is>
      </c>
      <c r="E202" s="10" t="n">
        <v>108</v>
      </c>
      <c r="F202" s="10" t="inlineStr">
        <is>
          <t>шт</t>
        </is>
      </c>
      <c r="G202" s="11" t="n">
        <v>70</v>
      </c>
      <c r="H202" s="11">
        <f>E202*G202</f>
        <v/>
      </c>
      <c r="I202" s="10" t="inlineStr">
        <is>
          <t>все</t>
        </is>
      </c>
      <c r="J202" s="10" t="inlineStr">
        <is>
          <t>штукатурка; откосы 16.88 м</t>
        </is>
      </c>
    </row>
    <row r="203">
      <c r="A203" s="10" t="inlineStr">
        <is>
          <t>Э07</t>
        </is>
      </c>
      <c r="B203" s="10" t="inlineStr">
        <is>
          <t>СП-05</t>
        </is>
      </c>
      <c r="C203" s="10" t="n">
        <v>52</v>
      </c>
      <c r="D203" s="10" t="inlineStr">
        <is>
          <t>Грунт глубокого проникновения (2 прохода, 0,15 л/м²)</t>
        </is>
      </c>
      <c r="E203" s="10" t="n">
        <v>120</v>
      </c>
      <c r="F203" s="10" t="inlineStr">
        <is>
          <t>л</t>
        </is>
      </c>
      <c r="G203" s="11" t="n">
        <v>120</v>
      </c>
      <c r="H203" s="11">
        <f>E203*G203</f>
        <v/>
      </c>
      <c r="I203" s="10" t="inlineStr">
        <is>
          <t>все</t>
        </is>
      </c>
      <c r="J203" s="10" t="inlineStr">
        <is>
          <t>штукатурка + шпаклёвка + Q2</t>
        </is>
      </c>
    </row>
    <row r="204">
      <c r="A204" s="10" t="inlineStr">
        <is>
          <t>Э07</t>
        </is>
      </c>
      <c r="B204" s="10" t="inlineStr">
        <is>
          <t>СП-05</t>
        </is>
      </c>
      <c r="C204" s="10" t="n">
        <v>53</v>
      </c>
      <c r="D204" s="10" t="inlineStr">
        <is>
          <t>Шпаклёвка финишная полимерная (стены Q3 1,2 кг/м², потолки Q4 1,5 кг/м², Q2 за мебелью 0,5 кг/м²)</t>
        </is>
      </c>
      <c r="E204" s="10" t="n">
        <v>280</v>
      </c>
      <c r="F204" s="10" t="inlineStr">
        <is>
          <t>кг</t>
        </is>
      </c>
      <c r="G204" s="11" t="n">
        <v>85</v>
      </c>
      <c r="H204" s="11">
        <f>E204*G204</f>
        <v/>
      </c>
      <c r="I204" s="10" t="inlineStr">
        <is>
          <t>все</t>
        </is>
      </c>
      <c r="J204" s="10" t="inlineStr">
        <is>
          <t>Q3 стены 105.6 + откосы 5.38 + потолки 69.3 + Q2 50.01 м²</t>
        </is>
      </c>
    </row>
    <row r="205">
      <c r="A205" s="10" t="inlineStr">
        <is>
          <t>Э07</t>
        </is>
      </c>
      <c r="B205" s="10" t="inlineStr">
        <is>
          <t>СП-05</t>
        </is>
      </c>
      <c r="C205" s="10" t="n">
        <v>54</v>
      </c>
      <c r="D205" s="10" t="inlineStr">
        <is>
          <t>Шпаклёвка для швов ГКЛ + серпянка (0,35 кг/м²)</t>
        </is>
      </c>
      <c r="E205" s="10" t="n">
        <v>50</v>
      </c>
      <c r="F205" s="10" t="inlineStr">
        <is>
          <t>кг</t>
        </is>
      </c>
      <c r="G205" s="11" t="n">
        <v>70</v>
      </c>
      <c r="H205" s="11">
        <f>E205*G205</f>
        <v/>
      </c>
      <c r="I205" s="10" t="inlineStr">
        <is>
          <t>все</t>
        </is>
      </c>
      <c r="J205" s="10" t="inlineStr">
        <is>
          <t>ceilings + облицовки</t>
        </is>
      </c>
    </row>
    <row r="206">
      <c r="A206" s="10" t="inlineStr">
        <is>
          <t>Э07</t>
        </is>
      </c>
      <c r="B206" s="10" t="inlineStr">
        <is>
          <t>СП-05</t>
        </is>
      </c>
      <c r="C206" s="10" t="n">
        <v>55</v>
      </c>
      <c r="D206" s="10" t="inlineStr">
        <is>
          <t>Стеклохолст-паутинка 45 г/м² + клей (стены под покраску)</t>
        </is>
      </c>
      <c r="E206" s="10" t="n">
        <v>150</v>
      </c>
      <c r="F206" s="10" t="inlineStr">
        <is>
          <t>м²</t>
        </is>
      </c>
      <c r="G206" s="11" t="n">
        <v>95</v>
      </c>
      <c r="H206" s="11">
        <f>E206*G206</f>
        <v/>
      </c>
      <c r="I206" s="10" t="inlineStr">
        <is>
          <t>все</t>
        </is>
      </c>
      <c r="J206" s="10" t="inlineStr">
        <is>
          <t>walls под окраску 105.6 м²; M05</t>
        </is>
      </c>
    </row>
    <row r="207">
      <c r="A207" s="10" t="inlineStr">
        <is>
          <t>Э10</t>
        </is>
      </c>
      <c r="B207" s="10" t="inlineStr">
        <is>
          <t>СП-05</t>
        </is>
      </c>
      <c r="C207" s="10" t="n">
        <v>56</v>
      </c>
      <c r="D207" s="10" t="inlineStr">
        <is>
          <t>Краска акриловая матовая моющаяся (класс 1), колер C2 «лён» NCS S 1002-Y — стены, матовая моющаяся класс 1–2</t>
        </is>
      </c>
      <c r="E207" s="10">
        <f>CEILING(56.72*0.11*2,1)</f>
        <v/>
      </c>
      <c r="F207" s="10" t="inlineStr">
        <is>
          <t>л</t>
        </is>
      </c>
      <c r="G207" s="11" t="n">
        <v>1500</v>
      </c>
      <c r="H207" s="11">
        <f>E207*G207</f>
        <v/>
      </c>
      <c r="I207" s="10" t="inlineStr">
        <is>
          <t>R1, R3, R4</t>
        </is>
      </c>
      <c r="J207" s="10" t="inlineStr">
        <is>
          <t>finish-quantities walls/ceilings; palette.json</t>
        </is>
      </c>
    </row>
    <row r="208">
      <c r="A208" s="10" t="inlineStr">
        <is>
          <t>Э10</t>
        </is>
      </c>
      <c r="B208" s="10" t="inlineStr">
        <is>
          <t>СП-05</t>
        </is>
      </c>
      <c r="C208" s="10" t="n">
        <v>57</v>
      </c>
      <c r="D208" s="10" t="inlineStr">
        <is>
          <t>Краска износостойкая моющаяся (класс 1), колер C5 NCS S 1510-B — детская, низ до +900, износостойкая класс 1</t>
        </is>
      </c>
      <c r="E208" s="10">
        <f>CEILING(9.02*0.11*2,1)</f>
        <v/>
      </c>
      <c r="F208" s="10" t="inlineStr">
        <is>
          <t>л</t>
        </is>
      </c>
      <c r="G208" s="11" t="n">
        <v>1500</v>
      </c>
      <c r="H208" s="11">
        <f>E208*G208</f>
        <v/>
      </c>
      <c r="I208" s="10" t="inlineStr">
        <is>
          <t>R2</t>
        </is>
      </c>
      <c r="J208" s="10" t="inlineStr">
        <is>
          <t>finish-quantities walls/ceilings; palette.json</t>
        </is>
      </c>
    </row>
    <row r="209">
      <c r="A209" s="10" t="inlineStr">
        <is>
          <t>Э10</t>
        </is>
      </c>
      <c r="B209" s="10" t="inlineStr">
        <is>
          <t>СП-05</t>
        </is>
      </c>
      <c r="C209" s="10" t="n">
        <v>58</v>
      </c>
      <c r="D209" s="10" t="inlineStr">
        <is>
          <t>Краска акриловая глубокоматовая, колер C1 «тёплый белый» NCS S 0502-Y — детская, верх стен</t>
        </is>
      </c>
      <c r="E209" s="10">
        <f>CEILING(18.04*0.11*2,1)</f>
        <v/>
      </c>
      <c r="F209" s="10" t="inlineStr">
        <is>
          <t>л</t>
        </is>
      </c>
      <c r="G209" s="11" t="n">
        <v>1400</v>
      </c>
      <c r="H209" s="11">
        <f>E209*G209</f>
        <v/>
      </c>
      <c r="I209" s="10" t="inlineStr">
        <is>
          <t>R2</t>
        </is>
      </c>
      <c r="J209" s="10" t="inlineStr">
        <is>
          <t>finish-quantities walls/ceilings; palette.json</t>
        </is>
      </c>
    </row>
    <row r="210">
      <c r="A210" s="10" t="inlineStr">
        <is>
          <t>Э10</t>
        </is>
      </c>
      <c r="B210" s="10" t="inlineStr">
        <is>
          <t>СП-05</t>
        </is>
      </c>
      <c r="C210" s="10" t="n">
        <v>59</v>
      </c>
      <c r="D210" s="10" t="inlineStr">
        <is>
          <t>Краска для влажных помещений матовая, колер C2 NCS S 1002-Y — стены ванной/постирочной, для влажных помещений</t>
        </is>
      </c>
      <c r="E210" s="10">
        <f>CEILING(11.42*0.11*2,1)</f>
        <v/>
      </c>
      <c r="F210" s="10" t="inlineStr">
        <is>
          <t>л</t>
        </is>
      </c>
      <c r="G210" s="11" t="n">
        <v>1600</v>
      </c>
      <c r="H210" s="11">
        <f>E210*G210</f>
        <v/>
      </c>
      <c r="I210" s="10" t="inlineStr">
        <is>
          <t>R5, R6</t>
        </is>
      </c>
      <c r="J210" s="10" t="inlineStr">
        <is>
          <t>finish-quantities walls/ceilings; palette.json</t>
        </is>
      </c>
    </row>
    <row r="211">
      <c r="A211" s="10" t="inlineStr">
        <is>
          <t>Э10</t>
        </is>
      </c>
      <c r="B211" s="10" t="inlineStr">
        <is>
          <t>СП-05</t>
        </is>
      </c>
      <c r="C211" s="10" t="n">
        <v>60</v>
      </c>
      <c r="D211" s="10" t="inlineStr">
        <is>
          <t>Краска глубокоматовая (≤ 3 gloss), колер C6 «тёмная олива» — балкон, глубокоматовая, тёмная (3 слоя)</t>
        </is>
      </c>
      <c r="E211" s="10">
        <f>CEILING(10.4*0.11*3,1)</f>
        <v/>
      </c>
      <c r="F211" s="10" t="inlineStr">
        <is>
          <t>л</t>
        </is>
      </c>
      <c r="G211" s="11" t="n">
        <v>1600</v>
      </c>
      <c r="H211" s="11">
        <f>E211*G211</f>
        <v/>
      </c>
      <c r="I211" s="10" t="inlineStr">
        <is>
          <t>R7</t>
        </is>
      </c>
      <c r="J211" s="10" t="inlineStr">
        <is>
          <t>finish-quantities walls/ceilings; palette.json</t>
        </is>
      </c>
    </row>
    <row r="212">
      <c r="A212" s="10" t="inlineStr">
        <is>
          <t>Э10</t>
        </is>
      </c>
      <c r="B212" s="10" t="inlineStr">
        <is>
          <t>СП-05</t>
        </is>
      </c>
      <c r="C212" s="10" t="n">
        <v>61</v>
      </c>
      <c r="D212" s="10" t="inlineStr">
        <is>
          <t>Краска акриловая глубокоматовая, колер C1 «тёплый белый» NCS S 0502-Y — откосы O2, O3, портал O4</t>
        </is>
      </c>
      <c r="E212" s="10">
        <f>CEILING(5.38*0.11*2,1)</f>
        <v/>
      </c>
      <c r="F212" s="10" t="inlineStr">
        <is>
          <t>л</t>
        </is>
      </c>
      <c r="G212" s="11" t="n">
        <v>1400</v>
      </c>
      <c r="H212" s="11">
        <f>E212*G212</f>
        <v/>
      </c>
      <c r="I212" s="10" t="inlineStr">
        <is>
          <t>R1, R2, R3</t>
        </is>
      </c>
      <c r="J212" s="10" t="inlineStr">
        <is>
          <t>finish-quantities walls/ceilings; palette.json</t>
        </is>
      </c>
    </row>
    <row r="213">
      <c r="A213" s="10" t="inlineStr">
        <is>
          <t>Э10</t>
        </is>
      </c>
      <c r="B213" s="10" t="inlineStr">
        <is>
          <t>СП-05</t>
        </is>
      </c>
      <c r="C213" s="10" t="n">
        <v>62</v>
      </c>
      <c r="D213" s="10" t="inlineStr">
        <is>
          <t>Краска потолочная глубокоматовая, колер C1 NCS S 0502-Y — потолки ГКЛ, глубокоматовая</t>
        </is>
      </c>
      <c r="E213" s="10">
        <f>CEILING(54.93*0.11*2,1)</f>
        <v/>
      </c>
      <c r="F213" s="10" t="inlineStr">
        <is>
          <t>л</t>
        </is>
      </c>
      <c r="G213" s="11" t="n">
        <v>1300</v>
      </c>
      <c r="H213" s="11">
        <f>E213*G213</f>
        <v/>
      </c>
      <c r="I213" s="10" t="inlineStr">
        <is>
          <t>R1, R2, R3, R4</t>
        </is>
      </c>
      <c r="J213" s="10" t="inlineStr">
        <is>
          <t>finish-quantities walls/ceilings; palette.json</t>
        </is>
      </c>
    </row>
    <row r="214">
      <c r="A214" s="10" t="inlineStr">
        <is>
          <t>Э10</t>
        </is>
      </c>
      <c r="B214" s="10" t="inlineStr">
        <is>
          <t>СП-05</t>
        </is>
      </c>
      <c r="C214" s="10" t="n">
        <v>63</v>
      </c>
      <c r="D214" s="10" t="inlineStr">
        <is>
          <t>Краска для влажных помещений матовая, колер C1 — потолки ГКЛВ ванной и постирочной, влагостойкая</t>
        </is>
      </c>
      <c r="E214" s="10">
        <f>CEILING(8.29*0.11*2,1)</f>
        <v/>
      </c>
      <c r="F214" s="10" t="inlineStr">
        <is>
          <t>л</t>
        </is>
      </c>
      <c r="G214" s="11" t="n">
        <v>1600</v>
      </c>
      <c r="H214" s="11">
        <f>E214*G214</f>
        <v/>
      </c>
      <c r="I214" s="10" t="inlineStr">
        <is>
          <t>R5, R6</t>
        </is>
      </c>
      <c r="J214" s="10" t="inlineStr">
        <is>
          <t>finish-quantities walls/ceilings; palette.json</t>
        </is>
      </c>
    </row>
    <row r="215">
      <c r="A215" s="10" t="inlineStr">
        <is>
          <t>Э10</t>
        </is>
      </c>
      <c r="B215" s="10" t="inlineStr">
        <is>
          <t>СП-05</t>
        </is>
      </c>
      <c r="C215" s="10" t="n">
        <v>64</v>
      </c>
      <c r="D215" s="10" t="inlineStr">
        <is>
          <t>Краска глубокоматовая (≤ 3 gloss), колер C6 «тёмная олива» — потолок балкона и ниша CN-3</t>
        </is>
      </c>
      <c r="E215" s="10">
        <f>CEILING(6.08*0.11*3,1)</f>
        <v/>
      </c>
      <c r="F215" s="10" t="inlineStr">
        <is>
          <t>л</t>
        </is>
      </c>
      <c r="G215" s="11" t="n">
        <v>1600</v>
      </c>
      <c r="H215" s="11">
        <f>E215*G215</f>
        <v/>
      </c>
      <c r="I215" s="10" t="inlineStr">
        <is>
          <t>R7</t>
        </is>
      </c>
      <c r="J215" s="10" t="inlineStr">
        <is>
          <t>finish-quantities walls/ceilings; palette.json</t>
        </is>
      </c>
    </row>
    <row r="216">
      <c r="A216" s="10" t="inlineStr">
        <is>
          <t>Э10</t>
        </is>
      </c>
      <c r="B216" s="10" t="inlineStr">
        <is>
          <t>СП-05</t>
        </is>
      </c>
      <c r="C216" s="10" t="n">
        <v>65</v>
      </c>
      <c r="D216" s="10" t="inlineStr">
        <is>
          <t>Карниз потолочный гладкий 80×70 полиуретан/дюрополимер</t>
        </is>
      </c>
      <c r="E216" s="10">
        <f>CEILING(29.33*1.1,2)</f>
        <v/>
      </c>
      <c r="F216" s="10" t="inlineStr">
        <is>
          <t>м</t>
        </is>
      </c>
      <c r="G216" s="11" t="n">
        <v>1300</v>
      </c>
      <c r="H216" s="11">
        <f>E216*G216</f>
        <v/>
      </c>
      <c r="I216" s="10" t="inlineStr">
        <is>
          <t>R1, R3, R4</t>
        </is>
      </c>
      <c r="J216" s="10" t="inlineStr">
        <is>
          <t>linear cornice_80 = 29.33 м</t>
        </is>
      </c>
    </row>
    <row r="217">
      <c r="A217" s="10" t="inlineStr">
        <is>
          <t>Э10</t>
        </is>
      </c>
      <c r="B217" s="10" t="inlineStr">
        <is>
          <t>СП-05</t>
        </is>
      </c>
      <c r="C217" s="10" t="n">
        <v>66</v>
      </c>
      <c r="D217" s="10" t="inlineStr">
        <is>
          <t>Карниз потолочный 60×60</t>
        </is>
      </c>
      <c r="E217" s="10">
        <f>CEILING(11.56*1.1,2)</f>
        <v/>
      </c>
      <c r="F217" s="10" t="inlineStr">
        <is>
          <t>м</t>
        </is>
      </c>
      <c r="G217" s="11" t="n">
        <v>1000</v>
      </c>
      <c r="H217" s="11">
        <f>E217*G217</f>
        <v/>
      </c>
      <c r="I217" s="10" t="inlineStr">
        <is>
          <t>R2</t>
        </is>
      </c>
      <c r="J217" s="10" t="inlineStr">
        <is>
          <t>linear cornice_60 = 11.56 м</t>
        </is>
      </c>
    </row>
    <row r="218">
      <c r="A218" s="10" t="inlineStr">
        <is>
          <t>Э10</t>
        </is>
      </c>
      <c r="B218" s="10" t="inlineStr">
        <is>
          <t>СП-05</t>
        </is>
      </c>
      <c r="C218" s="10" t="n">
        <v>67</v>
      </c>
      <c r="D218" s="10" t="inlineStr">
        <is>
          <t>Карниз 40 влагостойкий (ванная)</t>
        </is>
      </c>
      <c r="E218" s="10">
        <f>CEILING(3.9*1.1,2)</f>
        <v/>
      </c>
      <c r="F218" s="10" t="inlineStr">
        <is>
          <t>м</t>
        </is>
      </c>
      <c r="G218" s="11" t="n">
        <v>800</v>
      </c>
      <c r="H218" s="11">
        <f>E218*G218</f>
        <v/>
      </c>
      <c r="I218" s="10" t="inlineStr">
        <is>
          <t>R5</t>
        </is>
      </c>
      <c r="J218" s="10" t="inlineStr">
        <is>
          <t>linear cornice_40 = 3.9 м</t>
        </is>
      </c>
    </row>
    <row r="219">
      <c r="A219" s="10" t="inlineStr">
        <is>
          <t>Э10</t>
        </is>
      </c>
      <c r="B219" s="10" t="inlineStr">
        <is>
          <t>СП-05</t>
        </is>
      </c>
      <c r="C219" s="10" t="n">
        <v>68</v>
      </c>
      <c r="D219" s="10" t="inlineStr">
        <is>
          <t>Карниз-профиль 60 ламбрекена CB-3</t>
        </is>
      </c>
      <c r="E219" s="10">
        <f>CEILING(3.58*1.1,2)</f>
        <v/>
      </c>
      <c r="F219" s="10" t="inlineStr">
        <is>
          <t>м</t>
        </is>
      </c>
      <c r="G219" s="11" t="n">
        <v>1000</v>
      </c>
      <c r="H219" s="11">
        <f>E219*G219</f>
        <v/>
      </c>
      <c r="I219" s="10" t="inlineStr">
        <is>
          <t>R3</t>
        </is>
      </c>
      <c r="J219" s="10" t="inlineStr">
        <is>
          <t>linear cornice_profile_lambrequin_60 = 3.58 м</t>
        </is>
      </c>
    </row>
    <row r="220">
      <c r="A220" s="10" t="inlineStr">
        <is>
          <t>Э10</t>
        </is>
      </c>
      <c r="B220" s="10" t="inlineStr">
        <is>
          <t>СП-05</t>
        </is>
      </c>
      <c r="C220" s="10" t="n">
        <v>69</v>
      </c>
      <c r="D220" s="10" t="inlineStr">
        <is>
          <t>Карниз с LED-пазом (буазери, wall-wash)</t>
        </is>
      </c>
      <c r="E220" s="10">
        <f>CEILING(2.9*1.1,2)</f>
        <v/>
      </c>
      <c r="F220" s="10" t="inlineStr">
        <is>
          <t>м</t>
        </is>
      </c>
      <c r="G220" s="11" t="n">
        <v>2800</v>
      </c>
      <c r="H220" s="11">
        <f>E220*G220</f>
        <v/>
      </c>
      <c r="I220" s="10" t="inlineStr">
        <is>
          <t>R1</t>
        </is>
      </c>
      <c r="J220" s="10" t="inlineStr">
        <is>
          <t>linear cornice_boiserie_LED = 2.9 м</t>
        </is>
      </c>
    </row>
    <row r="221">
      <c r="A221" s="10" t="inlineStr">
        <is>
          <t>Э10</t>
        </is>
      </c>
      <c r="B221" s="10" t="inlineStr">
        <is>
          <t>СП-05</t>
        </is>
      </c>
      <c r="C221" s="10" t="n">
        <v>70</v>
      </c>
      <c r="D221" s="10" t="inlineStr">
        <is>
          <t>Плинтус МДФ влагостойкий 120 под покраску, к стене</t>
        </is>
      </c>
      <c r="E221" s="10">
        <f>CEILING(30.43*1.1,2)</f>
        <v/>
      </c>
      <c r="F221" s="10" t="inlineStr">
        <is>
          <t>м</t>
        </is>
      </c>
      <c r="G221" s="11" t="n">
        <v>850</v>
      </c>
      <c r="H221" s="11">
        <f>E221*G221</f>
        <v/>
      </c>
      <c r="I221" s="10" t="inlineStr">
        <is>
          <t>R1, R2, R3, R4</t>
        </is>
      </c>
      <c r="J221" s="10" t="inlineStr">
        <is>
          <t>linear plinth_mdf_120 = 30.43 м</t>
        </is>
      </c>
    </row>
    <row r="222">
      <c r="A222" s="10" t="inlineStr">
        <is>
          <t>Э10</t>
        </is>
      </c>
      <c r="B222" s="10" t="inlineStr">
        <is>
          <t>СП-05</t>
        </is>
      </c>
      <c r="C222" s="10" t="n">
        <v>71</v>
      </c>
      <c r="D222" s="10" t="inlineStr">
        <is>
          <t>Плинтус МДФ влагостойкий 80, окраска C6</t>
        </is>
      </c>
      <c r="E222" s="10">
        <f>CEILING(8.21*1.1,2)</f>
        <v/>
      </c>
      <c r="F222" s="10" t="inlineStr">
        <is>
          <t>м</t>
        </is>
      </c>
      <c r="G222" s="11" t="n">
        <v>650</v>
      </c>
      <c r="H222" s="11">
        <f>E222*G222</f>
        <v/>
      </c>
      <c r="I222" s="10" t="inlineStr">
        <is>
          <t>R7</t>
        </is>
      </c>
      <c r="J222" s="10" t="inlineStr">
        <is>
          <t>linear plinth_mdf_80_C6 = 8.21 м</t>
        </is>
      </c>
    </row>
    <row r="223">
      <c r="A223" s="10" t="inlineStr">
        <is>
          <t>Э10</t>
        </is>
      </c>
      <c r="B223" s="10" t="inlineStr">
        <is>
          <t>СП-05</t>
        </is>
      </c>
      <c r="C223" s="10" t="n">
        <v>72</v>
      </c>
      <c r="D223" s="10" t="inlineStr">
        <is>
          <t>Молдинг chair rail 40×20 на +900</t>
        </is>
      </c>
      <c r="E223" s="10">
        <f>CEILING(10.68*1.1,2)</f>
        <v/>
      </c>
      <c r="F223" s="10" t="inlineStr">
        <is>
          <t>м</t>
        </is>
      </c>
      <c r="G223" s="11" t="n">
        <v>650</v>
      </c>
      <c r="H223" s="11">
        <f>E223*G223</f>
        <v/>
      </c>
      <c r="I223" s="10" t="inlineStr">
        <is>
          <t>R2</t>
        </is>
      </c>
      <c r="J223" s="10" t="inlineStr">
        <is>
          <t>linear chair_rail_40x20_at_900 = 10.68 м</t>
        </is>
      </c>
    </row>
    <row r="224">
      <c r="A224" s="10" t="inlineStr">
        <is>
          <t>Э10</t>
        </is>
      </c>
      <c r="B224" s="10" t="inlineStr">
        <is>
          <t>СП-05</t>
        </is>
      </c>
      <c r="C224" s="10" t="n">
        <v>73</v>
      </c>
      <c r="D224" s="10" t="inlineStr">
        <is>
          <t>Молдинг 30 гладкий для рамок (R1 — рамка ТВ-зоны W7; R3 — 3 рамки на W8 [ДОПУЩЕНИЕ 900×1800])</t>
        </is>
      </c>
      <c r="E224" s="10" t="n">
        <v>26</v>
      </c>
      <c r="F224" s="10" t="inlineStr">
        <is>
          <t>м</t>
        </is>
      </c>
      <c r="G224" s="11" t="n">
        <v>450</v>
      </c>
      <c r="H224" s="11">
        <f>E224*G224</f>
        <v/>
      </c>
      <c r="I224" s="10" t="inlineStr">
        <is>
          <t>R1, R3</t>
        </is>
      </c>
      <c r="J224" s="10" t="inlineStr">
        <is>
          <t>elevations R1 W7 moulding 7.2 м; M14 рамки 16.2 м</t>
        </is>
      </c>
    </row>
    <row r="225">
      <c r="A225" s="10" t="inlineStr">
        <is>
          <t>Э10</t>
        </is>
      </c>
      <c r="B225" s="10" t="inlineStr">
        <is>
          <t>СП-05</t>
        </is>
      </c>
      <c r="C225" s="10" t="n">
        <v>74</v>
      </c>
      <c r="D225" s="10" t="inlineStr">
        <is>
          <t>Клей монтажный для лепнины + акриловый герметик для швов</t>
        </is>
      </c>
      <c r="E225" s="10" t="n">
        <v>25</v>
      </c>
      <c r="F225" s="10" t="inlineStr">
        <is>
          <t>туба</t>
        </is>
      </c>
      <c r="G225" s="11" t="n">
        <v>650</v>
      </c>
      <c r="H225" s="11">
        <f>E225*G225</f>
        <v/>
      </c>
      <c r="I225" s="10" t="inlineStr">
        <is>
          <t>все</t>
        </is>
      </c>
      <c r="J225" s="10" t="inlineStr">
        <is>
          <t>погонаж Σ 123.99 м</t>
        </is>
      </c>
    </row>
    <row r="226">
      <c r="A226" s="10" t="inlineStr">
        <is>
          <t>Э10</t>
        </is>
      </c>
      <c r="B226" s="10" t="inlineStr">
        <is>
          <t>СП-05</t>
        </is>
      </c>
      <c r="C226" s="10" t="n">
        <v>75</v>
      </c>
      <c r="D226" s="10" t="inlineStr">
        <is>
          <t>Эмаль акриловая полуматовая для погонажа и молдингов (C1/C2/C6)</t>
        </is>
      </c>
      <c r="E226" s="10" t="n">
        <v>7</v>
      </c>
      <c r="F226" s="10" t="inlineStr">
        <is>
          <t>л</t>
        </is>
      </c>
      <c r="G226" s="11" t="n">
        <v>1800</v>
      </c>
      <c r="H226" s="11">
        <f>E226*G226</f>
        <v/>
      </c>
      <c r="I226" s="10" t="inlineStr">
        <is>
          <t>все</t>
        </is>
      </c>
      <c r="J226" s="10" t="inlineStr">
        <is>
          <t>погонаж 123.99 м × 0,25 м² × 2 сл. × 0,1 л</t>
        </is>
      </c>
    </row>
    <row r="227">
      <c r="A227" s="10" t="inlineStr">
        <is>
          <t>Э11</t>
        </is>
      </c>
      <c r="B227" s="10" t="inlineStr">
        <is>
          <t>СП-05</t>
        </is>
      </c>
      <c r="C227" s="10" t="n">
        <v>76</v>
      </c>
      <c r="D227" s="10" t="inlineStr">
        <is>
          <t>Т-профиль латунный 8 мм на клею (стыки J1, J2)</t>
        </is>
      </c>
      <c r="E227" s="10" t="n">
        <v>5.4</v>
      </c>
      <c r="F227" s="10" t="inlineStr">
        <is>
          <t>м</t>
        </is>
      </c>
      <c r="G227" s="11" t="n">
        <v>1900</v>
      </c>
      <c r="H227" s="11">
        <f>E227*G227</f>
        <v/>
      </c>
      <c r="I227" s="10" t="inlineStr">
        <is>
          <t>R3/R7, R4</t>
        </is>
      </c>
      <c r="J227" s="10" t="inlineStr">
        <is>
          <t>counts латунный Т-профиль; J1, J2</t>
        </is>
      </c>
    </row>
    <row r="228">
      <c r="A228" s="10" t="inlineStr">
        <is>
          <t>Э11</t>
        </is>
      </c>
      <c r="B228" s="10" t="inlineStr">
        <is>
          <t>СП-05</t>
        </is>
      </c>
      <c r="C228" s="10" t="n">
        <v>77</v>
      </c>
      <c r="D228" s="10" t="inlineStr">
        <is>
          <t>Компенсатор пробковый 5 мм (стыки J1, J2, J4)</t>
        </is>
      </c>
      <c r="E228" s="10" t="n">
        <v>7</v>
      </c>
      <c r="F228" s="10" t="inlineStr">
        <is>
          <t>м</t>
        </is>
      </c>
      <c r="G228" s="11" t="n">
        <v>250</v>
      </c>
      <c r="H228" s="11">
        <f>E228*G228</f>
        <v/>
      </c>
      <c r="I228" s="10" t="inlineStr">
        <is>
          <t>R1–R4, R7</t>
        </is>
      </c>
      <c r="J228" s="10" t="inlineStr">
        <is>
          <t>floors junctions J1, J2, J4</t>
        </is>
      </c>
    </row>
    <row r="229">
      <c r="A229" s="10" t="inlineStr">
        <is>
          <t>Э13</t>
        </is>
      </c>
      <c r="B229" s="10" t="inlineStr">
        <is>
          <t>СП-05</t>
        </is>
      </c>
      <c r="C229" s="10" t="n">
        <v>78</v>
      </c>
      <c r="D229" s="10" t="inlineStr">
        <is>
          <t>Карниз потолочный профильный 2-рядный в нише (CN-1, CN-2)</t>
        </is>
      </c>
      <c r="E229" s="10" t="n">
        <v>7</v>
      </c>
      <c r="F229" s="10" t="inlineStr">
        <is>
          <t>м</t>
        </is>
      </c>
      <c r="G229" s="11" t="n">
        <v>1800</v>
      </c>
      <c r="H229" s="11">
        <f>E229*G229</f>
        <v/>
      </c>
      <c r="I229" s="10" t="inlineStr">
        <is>
          <t>R1, R2</t>
        </is>
      </c>
      <c r="J229" s="10" t="inlineStr">
        <is>
          <t>ceilings curtain_niches CN-1, CN-2 = 6.93 м</t>
        </is>
      </c>
    </row>
    <row r="230">
      <c r="A230" s="10" t="inlineStr">
        <is>
          <t>Э13</t>
        </is>
      </c>
      <c r="B230" s="10" t="inlineStr">
        <is>
          <t>СП-05</t>
        </is>
      </c>
      <c r="C230" s="10" t="n">
        <v>79</v>
      </c>
      <c r="D230" s="10" t="inlineStr">
        <is>
          <t>П-образный потолочный карниз с электроприводом Zigbee (B1+B2+B3)</t>
        </is>
      </c>
      <c r="E230" s="10" t="n">
        <v>1</v>
      </c>
      <c r="F230" s="10" t="inlineStr">
        <is>
          <t>компл</t>
        </is>
      </c>
      <c r="G230" s="11" t="n">
        <v>32000</v>
      </c>
      <c r="H230" s="11">
        <f>E230*G230</f>
        <v/>
      </c>
      <c r="I230" s="10" t="inlineStr">
        <is>
          <t>R7</t>
        </is>
      </c>
      <c r="J230" s="10" t="inlineStr">
        <is>
          <t>F37; CN-3; P-B02; M32</t>
        </is>
      </c>
    </row>
    <row r="231">
      <c r="A231" s="10" t="inlineStr">
        <is>
          <t>Э13</t>
        </is>
      </c>
      <c r="B231" s="10" t="inlineStr">
        <is>
          <t>СП-05</t>
        </is>
      </c>
      <c r="C231" s="10" t="n">
        <v>80</v>
      </c>
      <c r="D231" s="10" t="inlineStr">
        <is>
          <t>Портьеры блэкаут + тюль-лён, пошив (спальня, окно O2)</t>
        </is>
      </c>
      <c r="E231" s="10" t="n">
        <v>1</v>
      </c>
      <c r="F231" s="10" t="inlineStr">
        <is>
          <t>компл</t>
        </is>
      </c>
      <c r="G231" s="11" t="n">
        <v>38000</v>
      </c>
      <c r="H231" s="11">
        <f>E231*G231</f>
        <v/>
      </c>
      <c r="I231" s="10" t="inlineStr">
        <is>
          <t>R1</t>
        </is>
      </c>
      <c r="J231" s="10" t="inlineStr">
        <is>
          <t>M09; CN-1</t>
        </is>
      </c>
    </row>
    <row r="232">
      <c r="A232" s="10" t="inlineStr">
        <is>
          <t>Э13</t>
        </is>
      </c>
      <c r="B232" s="10" t="inlineStr">
        <is>
          <t>СП-05</t>
        </is>
      </c>
      <c r="C232" s="10" t="n">
        <v>81</v>
      </c>
      <c r="D232" s="10" t="inlineStr">
        <is>
          <t>Портьеры блэкаут + тюль, пошив (детская, окно O3)</t>
        </is>
      </c>
      <c r="E232" s="10" t="n">
        <v>1</v>
      </c>
      <c r="F232" s="10" t="inlineStr">
        <is>
          <t>компл</t>
        </is>
      </c>
      <c r="G232" s="11" t="n">
        <v>26000</v>
      </c>
      <c r="H232" s="11">
        <f>E232*G232</f>
        <v/>
      </c>
      <c r="I232" s="10" t="inlineStr">
        <is>
          <t>R2</t>
        </is>
      </c>
      <c r="J232" s="10" t="inlineStr">
        <is>
          <t>CN-2</t>
        </is>
      </c>
    </row>
    <row r="233">
      <c r="A233" s="10" t="inlineStr">
        <is>
          <t>Э13</t>
        </is>
      </c>
      <c r="B233" s="10" t="inlineStr">
        <is>
          <t>СП-05</t>
        </is>
      </c>
      <c r="C233" s="10" t="n">
        <v>82</v>
      </c>
      <c r="D233" s="10" t="inlineStr">
        <is>
          <t>Портьеры блэкаут C6 на П-карниз балкона, пошив</t>
        </is>
      </c>
      <c r="E233" s="10" t="n">
        <v>1</v>
      </c>
      <c r="F233" s="10" t="inlineStr">
        <is>
          <t>компл</t>
        </is>
      </c>
      <c r="G233" s="11" t="n">
        <v>48000</v>
      </c>
      <c r="H233" s="11">
        <f>E233*G233</f>
        <v/>
      </c>
      <c r="I233" s="10" t="inlineStr">
        <is>
          <t>R7</t>
        </is>
      </c>
      <c r="J233" s="10" t="inlineStr">
        <is>
          <t>F37; M32</t>
        </is>
      </c>
    </row>
    <row r="234">
      <c r="A234" s="10" t="inlineStr">
        <is>
          <t>Э04</t>
        </is>
      </c>
      <c r="B234" s="10" t="inlineStr">
        <is>
          <t>СП-04.2</t>
        </is>
      </c>
      <c r="C234" s="10" t="n">
        <v>1</v>
      </c>
      <c r="D234" s="10" t="inlineStr">
        <is>
          <t>Нагревательный мат 150 Вт/м², экранированный, 1.5 м² (TP1)</t>
        </is>
      </c>
      <c r="E234" s="10" t="n">
        <v>1.5</v>
      </c>
      <c r="F234" s="10" t="inlineStr">
        <is>
          <t>м²</t>
        </is>
      </c>
      <c r="G234" s="11" t="n">
        <v>3300</v>
      </c>
      <c r="H234" s="11">
        <f>E234*G234</f>
        <v/>
      </c>
      <c r="I234" s="10" t="inlineStr">
        <is>
          <t>R5</t>
        </is>
      </c>
      <c r="J234" s="10" t="inlineStr">
        <is>
          <t>TP1; heating.json electric_ufh; ОВ-01</t>
        </is>
      </c>
    </row>
    <row r="235">
      <c r="A235" s="10" t="inlineStr">
        <is>
          <t>Э04</t>
        </is>
      </c>
      <c r="B235" s="10" t="inlineStr">
        <is>
          <t>СП-04.2</t>
        </is>
      </c>
      <c r="C235" s="10" t="n">
        <v>2</v>
      </c>
      <c r="D235" s="10" t="inlineStr">
        <is>
          <t>Нагревательный мат 150 Вт/м², экранированный, 1.0 м² (TP2)</t>
        </is>
      </c>
      <c r="E235" s="10" t="n">
        <v>1</v>
      </c>
      <c r="F235" s="10" t="inlineStr">
        <is>
          <t>м²</t>
        </is>
      </c>
      <c r="G235" s="11" t="n">
        <v>3300</v>
      </c>
      <c r="H235" s="11">
        <f>E235*G235</f>
        <v/>
      </c>
      <c r="I235" s="10" t="inlineStr">
        <is>
          <t>R6</t>
        </is>
      </c>
      <c r="J235" s="10" t="inlineStr">
        <is>
          <t>TP2; heating.json electric_ufh; ОВ-01</t>
        </is>
      </c>
    </row>
    <row r="236">
      <c r="A236" s="10" t="inlineStr">
        <is>
          <t>Э04</t>
        </is>
      </c>
      <c r="B236" s="10" t="inlineStr">
        <is>
          <t>СП-04.2</t>
        </is>
      </c>
      <c r="C236" s="10" t="n">
        <v>3</v>
      </c>
      <c r="D236" s="10" t="inlineStr">
        <is>
          <t>Нагревательный мат 150 Вт/м², экранированный, 2.0 м² (TP3)</t>
        </is>
      </c>
      <c r="E236" s="10" t="n">
        <v>2</v>
      </c>
      <c r="F236" s="10" t="inlineStr">
        <is>
          <t>м²</t>
        </is>
      </c>
      <c r="G236" s="11" t="n">
        <v>3300</v>
      </c>
      <c r="H236" s="11">
        <f>E236*G236</f>
        <v/>
      </c>
      <c r="I236" s="10" t="inlineStr">
        <is>
          <t>R7</t>
        </is>
      </c>
      <c r="J236" s="10" t="inlineStr">
        <is>
          <t>TP3; heating.json electric_ufh; ОВ-01</t>
        </is>
      </c>
    </row>
    <row r="237">
      <c r="A237" s="10" t="inlineStr">
        <is>
          <t>Э13</t>
        </is>
      </c>
      <c r="B237" s="10" t="inlineStr">
        <is>
          <t>СП-04.2</t>
        </is>
      </c>
      <c r="C237" s="10" t="n">
        <v>4</v>
      </c>
      <c r="D237" s="10" t="inlineStr">
        <is>
          <t>Терморегулятор программируемый Wi-Fi/Zigbee с датчиком пола (T1 — TP1 ванная)</t>
        </is>
      </c>
      <c r="E237" s="10" t="n">
        <v>1</v>
      </c>
      <c r="F237" s="10" t="inlineStr">
        <is>
          <t>шт</t>
        </is>
      </c>
      <c r="G237" s="11" t="n">
        <v>7500</v>
      </c>
      <c r="H237" s="11">
        <f>E237*G237</f>
        <v/>
      </c>
      <c r="I237" s="10" t="inlineStr">
        <is>
          <t>R4</t>
        </is>
      </c>
      <c r="J237" s="10" t="inlineStr">
        <is>
          <t>T1; P-V06/P-L05/P-B08</t>
        </is>
      </c>
    </row>
    <row r="238">
      <c r="A238" s="10" t="inlineStr">
        <is>
          <t>Э13</t>
        </is>
      </c>
      <c r="B238" s="10" t="inlineStr">
        <is>
          <t>СП-04.2</t>
        </is>
      </c>
      <c r="C238" s="10" t="n">
        <v>5</v>
      </c>
      <c r="D238" s="10" t="inlineStr">
        <is>
          <t>Терморегулятор программируемый Wi-Fi/Zigbee с датчиком пола (T2 — TP2 постирочная)</t>
        </is>
      </c>
      <c r="E238" s="10" t="n">
        <v>1</v>
      </c>
      <c r="F238" s="10" t="inlineStr">
        <is>
          <t>шт</t>
        </is>
      </c>
      <c r="G238" s="11" t="n">
        <v>7500</v>
      </c>
      <c r="H238" s="11">
        <f>E238*G238</f>
        <v/>
      </c>
      <c r="I238" s="10" t="inlineStr">
        <is>
          <t>R4</t>
        </is>
      </c>
      <c r="J238" s="10" t="inlineStr">
        <is>
          <t>T2; P-V06/P-L05/P-B08</t>
        </is>
      </c>
    </row>
    <row r="239">
      <c r="A239" s="10" t="inlineStr">
        <is>
          <t>Э13</t>
        </is>
      </c>
      <c r="B239" s="10" t="inlineStr">
        <is>
          <t>СП-04.2</t>
        </is>
      </c>
      <c r="C239" s="10" t="n">
        <v>6</v>
      </c>
      <c r="D239" s="10" t="inlineStr">
        <is>
          <t>Терморегулятор программируемый Wi-Fi/Zigbee с датчиком пола (T3 — TP3 балкон)</t>
        </is>
      </c>
      <c r="E239" s="10" t="n">
        <v>1</v>
      </c>
      <c r="F239" s="10" t="inlineStr">
        <is>
          <t>шт</t>
        </is>
      </c>
      <c r="G239" s="11" t="n">
        <v>7500</v>
      </c>
      <c r="H239" s="11">
        <f>E239*G239</f>
        <v/>
      </c>
      <c r="I239" s="10" t="inlineStr">
        <is>
          <t>R7</t>
        </is>
      </c>
      <c r="J239" s="10" t="inlineStr">
        <is>
          <t>T3; P-V06/P-L05/P-B08</t>
        </is>
      </c>
    </row>
    <row r="240">
      <c r="A240" s="10" t="inlineStr">
        <is>
          <t>Э04</t>
        </is>
      </c>
      <c r="B240" s="10" t="inlineStr">
        <is>
          <t>СП-04.2</t>
        </is>
      </c>
      <c r="C240" s="10" t="n">
        <v>7</v>
      </c>
      <c r="D240" s="10" t="inlineStr">
        <is>
          <t>Гофра Ø16 к датчику пола</t>
        </is>
      </c>
      <c r="E240" s="10" t="n">
        <v>10</v>
      </c>
      <c r="F240" s="10" t="inlineStr">
        <is>
          <t>м</t>
        </is>
      </c>
      <c r="G240" s="11" t="n">
        <v>30</v>
      </c>
      <c r="H240" s="11">
        <f>E240*G240</f>
        <v/>
      </c>
      <c r="I240" s="10" t="inlineStr">
        <is>
          <t>R4–R7</t>
        </is>
      </c>
      <c r="J240" s="10" t="inlineStr">
        <is>
          <t>LV27-1, LV27-2, LV27-3</t>
        </is>
      </c>
    </row>
    <row r="241">
      <c r="A241" s="10" t="inlineStr">
        <is>
          <t>Э13</t>
        </is>
      </c>
      <c r="B241" s="10" t="inlineStr">
        <is>
          <t>СП-04.2</t>
        </is>
      </c>
      <c r="C241" s="10" t="n">
        <v>8</v>
      </c>
      <c r="D241" s="10" t="inlineStr">
        <is>
          <t>Электроконвектор низкий настенный 0.75 кВт, h ≤ 400, крепление к парапету/W2 (KV1)</t>
        </is>
      </c>
      <c r="E241" s="10" t="n">
        <v>1</v>
      </c>
      <c r="F241" s="10" t="inlineStr">
        <is>
          <t>шт</t>
        </is>
      </c>
      <c r="G241" s="11" t="n">
        <v>17000</v>
      </c>
      <c r="H241" s="11">
        <f>E241*G241</f>
        <v/>
      </c>
      <c r="I241" s="10" t="inlineStr">
        <is>
          <t>R7</t>
        </is>
      </c>
      <c r="J241" s="10" t="inlineStr">
        <is>
          <t>KV1; P-B06; D17</t>
        </is>
      </c>
    </row>
    <row r="242">
      <c r="A242" s="10" t="inlineStr">
        <is>
          <t>Э13</t>
        </is>
      </c>
      <c r="B242" s="10" t="inlineStr">
        <is>
          <t>СП-04.2</t>
        </is>
      </c>
      <c r="C242" s="10" t="n">
        <v>9</v>
      </c>
      <c r="D242" s="10" t="inlineStr">
        <is>
          <t>Электроконвектор низкий настенный 0.75 кВт, h ≤ 400, крепление к парапету/W2 (KV2)</t>
        </is>
      </c>
      <c r="E242" s="10" t="n">
        <v>1</v>
      </c>
      <c r="F242" s="10" t="inlineStr">
        <is>
          <t>шт</t>
        </is>
      </c>
      <c r="G242" s="11" t="n">
        <v>17000</v>
      </c>
      <c r="H242" s="11">
        <f>E242*G242</f>
        <v/>
      </c>
      <c r="I242" s="10" t="inlineStr">
        <is>
          <t>R7</t>
        </is>
      </c>
      <c r="J242" s="10" t="inlineStr">
        <is>
          <t>KV2; P-B07; D17</t>
        </is>
      </c>
    </row>
    <row r="243">
      <c r="A243" s="10" t="inlineStr">
        <is>
          <t>Э05</t>
        </is>
      </c>
      <c r="B243" s="10" t="inlineStr">
        <is>
          <t>СП-04.2</t>
        </is>
      </c>
      <c r="C243" s="10" t="n">
        <v>10</v>
      </c>
      <c r="D243" s="10" t="inlineStr">
        <is>
          <t>Воздуховод круглый Ø125 гладкий (ПВХ/оцинк.)</t>
        </is>
      </c>
      <c r="E243" s="10" t="n">
        <v>5</v>
      </c>
      <c r="F243" s="10" t="inlineStr">
        <is>
          <t>м</t>
        </is>
      </c>
      <c r="G243" s="11" t="n">
        <v>650</v>
      </c>
      <c r="H243" s="11">
        <f>E243*G243</f>
        <v/>
      </c>
      <c r="I243" s="10" t="inlineStr">
        <is>
          <t>R3</t>
        </is>
      </c>
      <c r="J243" s="10" t="inlineStr">
        <is>
          <t>KH1 4.05 м; CB-1, CB-2</t>
        </is>
      </c>
    </row>
    <row r="244">
      <c r="A244" s="10" t="inlineStr">
        <is>
          <t>Э05</t>
        </is>
      </c>
      <c r="B244" s="10" t="inlineStr">
        <is>
          <t>СП-04.2</t>
        </is>
      </c>
      <c r="C244" s="10" t="n">
        <v>11</v>
      </c>
      <c r="D244" s="10" t="inlineStr">
        <is>
          <t>Отводы Ø125 (90°/45°), соединители, хомуты</t>
        </is>
      </c>
      <c r="E244" s="10" t="n">
        <v>5</v>
      </c>
      <c r="F244" s="10" t="inlineStr">
        <is>
          <t>шт</t>
        </is>
      </c>
      <c r="G244" s="11" t="n">
        <v>450</v>
      </c>
      <c r="H244" s="11">
        <f>E244*G244</f>
        <v/>
      </c>
      <c r="I244" s="10" t="inlineStr">
        <is>
          <t>R3</t>
        </is>
      </c>
      <c r="J244" s="10" t="inlineStr">
        <is>
          <t>KH1 bends: 3×90° + 2×45°</t>
        </is>
      </c>
    </row>
    <row r="245">
      <c r="A245" s="10" t="inlineStr">
        <is>
          <t>Э05</t>
        </is>
      </c>
      <c r="B245" s="10" t="inlineStr">
        <is>
          <t>СП-04.2</t>
        </is>
      </c>
      <c r="C245" s="10" t="n">
        <v>12</v>
      </c>
      <c r="D245" s="10" t="inlineStr">
        <is>
          <t>Решётка вентканала комбинированная с обратным клапаном и отверстиями естественной тяги (U13)</t>
        </is>
      </c>
      <c r="E245" s="10" t="n">
        <v>1</v>
      </c>
      <c r="F245" s="10" t="inlineStr">
        <is>
          <t>шт</t>
        </is>
      </c>
      <c r="G245" s="11" t="n">
        <v>2500</v>
      </c>
      <c r="H245" s="11">
        <f>E245*G245</f>
        <v/>
      </c>
      <c r="I245" s="10" t="inlineStr">
        <is>
          <t>R3</t>
        </is>
      </c>
      <c r="J245" s="10" t="inlineStr">
        <is>
          <t>U13; kitchen.md п.8</t>
        </is>
      </c>
    </row>
    <row r="246">
      <c r="A246" s="10" t="inlineStr">
        <is>
          <t>Э13</t>
        </is>
      </c>
      <c r="B246" s="10" t="inlineStr">
        <is>
          <t>СП-04.2</t>
        </is>
      </c>
      <c r="C246" s="10" t="n">
        <v>13</v>
      </c>
      <c r="D246" s="10" t="inlineStr">
        <is>
          <t>Вентилятор вытяжной Ø100, обратный клапан, гигростат + таймер, IPX4/IPX5 (EF1)</t>
        </is>
      </c>
      <c r="E246" s="10" t="n">
        <v>1</v>
      </c>
      <c r="F246" s="10" t="inlineStr">
        <is>
          <t>шт</t>
        </is>
      </c>
      <c r="G246" s="11" t="n">
        <v>8500</v>
      </c>
      <c r="H246" s="11">
        <f>E246*G246</f>
        <v/>
      </c>
      <c r="I246" s="10" t="inlineStr">
        <is>
          <t>R5</t>
        </is>
      </c>
      <c r="J246" s="10" t="inlineStr">
        <is>
          <t>EF1; P-V05/P-L04</t>
        </is>
      </c>
    </row>
    <row r="247">
      <c r="A247" s="10" t="inlineStr">
        <is>
          <t>Э05</t>
        </is>
      </c>
      <c r="B247" s="10" t="inlineStr">
        <is>
          <t>СП-04.2</t>
        </is>
      </c>
      <c r="C247" s="10" t="n">
        <v>14</v>
      </c>
      <c r="D247" s="10" t="inlineStr">
        <is>
          <t>Воздуховод Ø100 + врезка в канал (EF1)</t>
        </is>
      </c>
      <c r="E247" s="10" t="n">
        <v>1</v>
      </c>
      <c r="F247" s="10" t="inlineStr">
        <is>
          <t>м</t>
        </is>
      </c>
      <c r="G247" s="11" t="n">
        <v>450</v>
      </c>
      <c r="H247" s="11">
        <f>E247*G247</f>
        <v/>
      </c>
      <c r="I247" s="10" t="inlineStr">
        <is>
          <t>R5</t>
        </is>
      </c>
      <c r="J247" s="10" t="inlineStr">
        <is>
          <t>EF1 0.3 м</t>
        </is>
      </c>
    </row>
    <row r="248">
      <c r="A248" s="10" t="inlineStr">
        <is>
          <t>Э13</t>
        </is>
      </c>
      <c r="B248" s="10" t="inlineStr">
        <is>
          <t>СП-04.2</t>
        </is>
      </c>
      <c r="C248" s="10" t="n">
        <v>15</v>
      </c>
      <c r="D248" s="10" t="inlineStr">
        <is>
          <t>Вентилятор вытяжной Ø100, обратный клапан, гигростат + таймер, IPX4/IPX5 (EF2)</t>
        </is>
      </c>
      <c r="E248" s="10" t="n">
        <v>1</v>
      </c>
      <c r="F248" s="10" t="inlineStr">
        <is>
          <t>шт</t>
        </is>
      </c>
      <c r="G248" s="11" t="n">
        <v>8500</v>
      </c>
      <c r="H248" s="11">
        <f>E248*G248</f>
        <v/>
      </c>
      <c r="I248" s="10" t="inlineStr">
        <is>
          <t>R6</t>
        </is>
      </c>
      <c r="J248" s="10" t="inlineStr">
        <is>
          <t>EF2; P-V05/P-L04</t>
        </is>
      </c>
    </row>
    <row r="249">
      <c r="A249" s="10" t="inlineStr">
        <is>
          <t>Э05</t>
        </is>
      </c>
      <c r="B249" s="10" t="inlineStr">
        <is>
          <t>СП-04.2</t>
        </is>
      </c>
      <c r="C249" s="10" t="n">
        <v>16</v>
      </c>
      <c r="D249" s="10" t="inlineStr">
        <is>
          <t>Воздуховод Ø100 + врезка в канал (EF2)</t>
        </is>
      </c>
      <c r="E249" s="10" t="n">
        <v>1</v>
      </c>
      <c r="F249" s="10" t="inlineStr">
        <is>
          <t>м</t>
        </is>
      </c>
      <c r="G249" s="11" t="n">
        <v>450</v>
      </c>
      <c r="H249" s="11">
        <f>E249*G249</f>
        <v/>
      </c>
      <c r="I249" s="10" t="inlineStr">
        <is>
          <t>R6</t>
        </is>
      </c>
      <c r="J249" s="10" t="inlineStr">
        <is>
          <t>EF2 0.4 м</t>
        </is>
      </c>
    </row>
    <row r="250">
      <c r="A250" s="10" t="inlineStr">
        <is>
          <t>Э13</t>
        </is>
      </c>
      <c r="B250" s="10" t="inlineStr">
        <is>
          <t>СП-04.2</t>
        </is>
      </c>
      <c r="C250" s="10" t="n">
        <v>17</v>
      </c>
      <c r="D250" s="10" t="inlineStr">
        <is>
          <t>Бризер BR1: Бризер спальни (F51)</t>
        </is>
      </c>
      <c r="E250" s="10" t="n">
        <v>1</v>
      </c>
      <c r="F250" s="10" t="inlineStr">
        <is>
          <t>шт</t>
        </is>
      </c>
      <c r="G250" s="11" t="n">
        <v>58000</v>
      </c>
      <c r="H250" s="11">
        <f>E250*G250</f>
        <v/>
      </c>
      <c r="I250" s="10" t="inlineStr">
        <is>
          <t>R1</t>
        </is>
      </c>
      <c r="J250" s="10" t="inlineStr">
        <is>
          <t>BR1; F51/F59; ОВ-02</t>
        </is>
      </c>
    </row>
    <row r="251">
      <c r="A251" s="10" t="inlineStr">
        <is>
          <t>Э13</t>
        </is>
      </c>
      <c r="B251" s="10" t="inlineStr">
        <is>
          <t>СП-04.2</t>
        </is>
      </c>
      <c r="C251" s="10" t="n">
        <v>18</v>
      </c>
      <c r="D251" s="10" t="inlineStr">
        <is>
          <t>Бризер BR2: Бризер детской (F59) — компактный</t>
        </is>
      </c>
      <c r="E251" s="10" t="n">
        <v>1</v>
      </c>
      <c r="F251" s="10" t="inlineStr">
        <is>
          <t>шт</t>
        </is>
      </c>
      <c r="G251" s="11" t="n">
        <v>26000</v>
      </c>
      <c r="H251" s="11">
        <f>E251*G251</f>
        <v/>
      </c>
      <c r="I251" s="10" t="inlineStr">
        <is>
          <t>R2</t>
        </is>
      </c>
      <c r="J251" s="10" t="inlineStr">
        <is>
          <t>BR2; F51/F59; ОВ-02</t>
        </is>
      </c>
    </row>
    <row r="252">
      <c r="A252" s="10" t="inlineStr">
        <is>
          <t>Э04</t>
        </is>
      </c>
      <c r="B252" s="10" t="inlineStr">
        <is>
          <t>СП-03.4</t>
        </is>
      </c>
      <c r="C252" s="10" t="n">
        <v>1</v>
      </c>
      <c r="D252" s="10" t="inlineStr">
        <is>
          <t>Щит слаботочный 400×500×120 накладной (U16) с DIN-рейкой и полкой</t>
        </is>
      </c>
      <c r="E252" s="10" t="n">
        <v>1</v>
      </c>
      <c r="F252" s="10" t="inlineStr">
        <is>
          <t>шт</t>
        </is>
      </c>
      <c r="G252" s="11" t="n">
        <v>9000</v>
      </c>
      <c r="H252" s="11">
        <f>E252*G252</f>
        <v/>
      </c>
      <c r="I252" s="10" t="inlineStr">
        <is>
          <t>R4</t>
        </is>
      </c>
      <c r="J252" s="10" t="inlineStr">
        <is>
          <t>U16; LV00; F64; D14</t>
        </is>
      </c>
    </row>
    <row r="253">
      <c r="A253" s="10" t="inlineStr">
        <is>
          <t>Э13</t>
        </is>
      </c>
      <c r="B253" s="10" t="inlineStr">
        <is>
          <t>СП-03.4</t>
        </is>
      </c>
      <c r="C253" s="10" t="n">
        <v>2</v>
      </c>
      <c r="D253" s="10" t="inlineStr">
        <is>
          <t>Роутер Wi-Fi 6 (mesh-совместимый)</t>
        </is>
      </c>
      <c r="E253" s="10" t="n">
        <v>1</v>
      </c>
      <c r="F253" s="10" t="inlineStr">
        <is>
          <t>шт</t>
        </is>
      </c>
      <c r="G253" s="11" t="n">
        <v>12000</v>
      </c>
      <c r="H253" s="11">
        <f>E253*G253</f>
        <v/>
      </c>
      <c r="I253" s="10" t="inlineStr">
        <is>
          <t>R4</t>
        </is>
      </c>
      <c r="J253" s="10" t="inlineStr">
        <is>
          <t>LV00; F64</t>
        </is>
      </c>
    </row>
    <row r="254">
      <c r="A254" s="10" t="inlineStr">
        <is>
          <t>Э13</t>
        </is>
      </c>
      <c r="B254" s="10" t="inlineStr">
        <is>
          <t>СП-03.4</t>
        </is>
      </c>
      <c r="C254" s="10" t="n">
        <v>3</v>
      </c>
      <c r="D254" s="10" t="inlineStr">
        <is>
          <t>Коммутатор PoE 8 портов</t>
        </is>
      </c>
      <c r="E254" s="10" t="n">
        <v>1</v>
      </c>
      <c r="F254" s="10" t="inlineStr">
        <is>
          <t>шт</t>
        </is>
      </c>
      <c r="G254" s="11" t="n">
        <v>9000</v>
      </c>
      <c r="H254" s="11">
        <f>E254*G254</f>
        <v/>
      </c>
      <c r="I254" s="10" t="inlineStr">
        <is>
          <t>R4</t>
        </is>
      </c>
      <c r="J254" s="10" t="inlineStr">
        <is>
          <t>LV00</t>
        </is>
      </c>
    </row>
    <row r="255">
      <c r="A255" s="10" t="inlineStr">
        <is>
          <t>Э04</t>
        </is>
      </c>
      <c r="B255" s="10" t="inlineStr">
        <is>
          <t>СП-03.4</t>
        </is>
      </c>
      <c r="C255" s="10" t="n">
        <v>4</v>
      </c>
      <c r="D255" s="10" t="inlineStr">
        <is>
          <t>Патч-панель Cat6 12p + патч-корды</t>
        </is>
      </c>
      <c r="E255" s="10" t="n">
        <v>1</v>
      </c>
      <c r="F255" s="10" t="inlineStr">
        <is>
          <t>компл</t>
        </is>
      </c>
      <c r="G255" s="11" t="n">
        <v>6000</v>
      </c>
      <c r="H255" s="11">
        <f>E255*G255</f>
        <v/>
      </c>
      <c r="I255" s="10" t="inlineStr">
        <is>
          <t>R4</t>
        </is>
      </c>
      <c r="J255" s="10" t="inlineStr">
        <is>
          <t>LV00</t>
        </is>
      </c>
    </row>
    <row r="256">
      <c r="A256" s="10" t="inlineStr">
        <is>
          <t>Э13</t>
        </is>
      </c>
      <c r="B256" s="10" t="inlineStr">
        <is>
          <t>СП-03.4</t>
        </is>
      </c>
      <c r="C256" s="10" t="n">
        <v>5</v>
      </c>
      <c r="D256" s="10" t="inlineStr">
        <is>
          <t>Точка доступа Wi-Fi потолочная PoE</t>
        </is>
      </c>
      <c r="E256" s="10" t="n">
        <v>1</v>
      </c>
      <c r="F256" s="10" t="inlineStr">
        <is>
          <t>шт</t>
        </is>
      </c>
      <c r="G256" s="11" t="n">
        <v>12000</v>
      </c>
      <c r="H256" s="11">
        <f>E256*G256</f>
        <v/>
      </c>
      <c r="I256" s="10" t="inlineStr">
        <is>
          <t>R4</t>
        </is>
      </c>
      <c r="J256" s="10" t="inlineStr">
        <is>
          <t>F65; LV13</t>
        </is>
      </c>
    </row>
    <row r="257">
      <c r="A257" s="10" t="inlineStr">
        <is>
          <t>Э13</t>
        </is>
      </c>
      <c r="B257" s="10" t="inlineStr">
        <is>
          <t>СП-03.4</t>
        </is>
      </c>
      <c r="C257" s="10" t="n">
        <v>6</v>
      </c>
      <c r="D257" s="10" t="inlineStr">
        <is>
          <t>Розетка RJ45 Cat6 (серия ArtGallery)</t>
        </is>
      </c>
      <c r="E257" s="10" t="n">
        <v>4</v>
      </c>
      <c r="F257" s="10" t="inlineStr">
        <is>
          <t>шт</t>
        </is>
      </c>
      <c r="G257" s="11" t="n">
        <v>1300</v>
      </c>
      <c r="H257" s="11">
        <f>E257*G257</f>
        <v/>
      </c>
      <c r="I257" s="10" t="inlineStr">
        <is>
          <t>R1, R2, R7</t>
        </is>
      </c>
      <c r="J257" s="10" t="inlineStr">
        <is>
          <t>LV02, LV05, LV06, LV07</t>
        </is>
      </c>
    </row>
    <row r="258">
      <c r="A258" s="10" t="inlineStr">
        <is>
          <t>Э13</t>
        </is>
      </c>
      <c r="B258" s="10" t="inlineStr">
        <is>
          <t>СП-03.4</t>
        </is>
      </c>
      <c r="C258" s="10" t="n">
        <v>7</v>
      </c>
      <c r="D258" s="10" t="inlineStr">
        <is>
          <t>Розетка TV (серия ArtGallery)</t>
        </is>
      </c>
      <c r="E258" s="10" t="n">
        <v>1</v>
      </c>
      <c r="F258" s="10" t="inlineStr">
        <is>
          <t>шт</t>
        </is>
      </c>
      <c r="G258" s="11" t="n">
        <v>900</v>
      </c>
      <c r="H258" s="11">
        <f>E258*G258</f>
        <v/>
      </c>
      <c r="I258" s="10" t="inlineStr">
        <is>
          <t>R1</t>
        </is>
      </c>
      <c r="J258" s="10" t="inlineStr">
        <is>
          <t>LV03</t>
        </is>
      </c>
    </row>
    <row r="259">
      <c r="A259" s="10" t="inlineStr">
        <is>
          <t>Э04</t>
        </is>
      </c>
      <c r="B259" s="10" t="inlineStr">
        <is>
          <t>СП-03.4</t>
        </is>
      </c>
      <c r="C259" s="10" t="n">
        <v>8</v>
      </c>
      <c r="D259" s="10" t="inlineStr">
        <is>
          <t>Кабель U/FTP Cat6 нг(А)-HF</t>
        </is>
      </c>
      <c r="E259" s="10" t="n">
        <v>75</v>
      </c>
      <c r="F259" s="10" t="inlineStr">
        <is>
          <t>м</t>
        </is>
      </c>
      <c r="G259" s="11" t="n">
        <v>95</v>
      </c>
      <c r="H259" s="11">
        <f>E259*G259</f>
        <v/>
      </c>
      <c r="I259" s="10" t="inlineStr">
        <is>
          <t>все</t>
        </is>
      </c>
      <c r="J259" s="10" t="inlineStr">
        <is>
          <t>LV02, LV05, LV06, LV07, LV13, LV08 — трассы по потолку + 15 %</t>
        </is>
      </c>
    </row>
    <row r="260">
      <c r="A260" s="10" t="inlineStr">
        <is>
          <t>Э04</t>
        </is>
      </c>
      <c r="B260" s="10" t="inlineStr">
        <is>
          <t>СП-03.4</t>
        </is>
      </c>
      <c r="C260" s="10" t="n">
        <v>9</v>
      </c>
      <c r="D260" s="10" t="inlineStr">
        <is>
          <t>Кабель коаксиальный RG-6 нг</t>
        </is>
      </c>
      <c r="E260" s="10" t="n">
        <v>15</v>
      </c>
      <c r="F260" s="10" t="inlineStr">
        <is>
          <t>м</t>
        </is>
      </c>
      <c r="G260" s="11" t="n">
        <v>50</v>
      </c>
      <c r="H260" s="11">
        <f>E260*G260</f>
        <v/>
      </c>
      <c r="I260" s="10" t="inlineStr">
        <is>
          <t>R1</t>
        </is>
      </c>
      <c r="J260" s="10" t="inlineStr">
        <is>
          <t>LV03</t>
        </is>
      </c>
    </row>
    <row r="261">
      <c r="A261" s="10" t="inlineStr">
        <is>
          <t>Э04</t>
        </is>
      </c>
      <c r="B261" s="10" t="inlineStr">
        <is>
          <t>СП-03.4</t>
        </is>
      </c>
      <c r="C261" s="10" t="n">
        <v>10</v>
      </c>
      <c r="D261" s="10" t="inlineStr">
        <is>
          <t>Кабель акустический 2×2,5</t>
        </is>
      </c>
      <c r="E261" s="10" t="n">
        <v>20</v>
      </c>
      <c r="F261" s="10" t="inlineStr">
        <is>
          <t>м</t>
        </is>
      </c>
      <c r="G261" s="11" t="n">
        <v>130</v>
      </c>
      <c r="H261" s="11">
        <f>E261*G261</f>
        <v/>
      </c>
      <c r="I261" s="10" t="inlineStr">
        <is>
          <t>R7</t>
        </is>
      </c>
      <c r="J261" s="10" t="inlineStr">
        <is>
          <t>LV09, LV10</t>
        </is>
      </c>
    </row>
    <row r="262">
      <c r="A262" s="10" t="inlineStr">
        <is>
          <t>Э04</t>
        </is>
      </c>
      <c r="B262" s="10" t="inlineStr">
        <is>
          <t>СП-03.4</t>
        </is>
      </c>
      <c r="C262" s="10" t="n">
        <v>11</v>
      </c>
      <c r="D262" s="10" t="inlineStr">
        <is>
          <t>Кабель датчиков протечки 3×0,5 нг</t>
        </is>
      </c>
      <c r="E262" s="10" t="n">
        <v>70</v>
      </c>
      <c r="F262" s="10" t="inlineStr">
        <is>
          <t>м</t>
        </is>
      </c>
      <c r="G262" s="11" t="n">
        <v>35</v>
      </c>
      <c r="H262" s="11">
        <f>E262*G262</f>
        <v/>
      </c>
      <c r="I262" s="10" t="inlineStr">
        <is>
          <t>R3, R5, R6</t>
        </is>
      </c>
      <c r="J262" s="10" t="inlineStr">
        <is>
          <t>LV14, LV15-1, LV15-2, LV15-3, LV16-1, LV16-2, LV16-3</t>
        </is>
      </c>
    </row>
    <row r="263">
      <c r="A263" s="10" t="inlineStr">
        <is>
          <t>Э04</t>
        </is>
      </c>
      <c r="B263" s="10" t="inlineStr">
        <is>
          <t>СП-03.4</t>
        </is>
      </c>
      <c r="C263" s="10" t="n">
        <v>12</v>
      </c>
      <c r="D263" s="10" t="inlineStr">
        <is>
          <t>Кабель питания электрокранов 3×0,75 нг (12 В)</t>
        </is>
      </c>
      <c r="E263" s="10" t="n">
        <v>20</v>
      </c>
      <c r="F263" s="10" t="inlineStr">
        <is>
          <t>м</t>
        </is>
      </c>
      <c r="G263" s="11" t="n">
        <v>55</v>
      </c>
      <c r="H263" s="11">
        <f>E263*G263</f>
        <v/>
      </c>
      <c r="I263" s="10" t="inlineStr">
        <is>
          <t>R5, R6</t>
        </is>
      </c>
      <c r="J263" s="10" t="inlineStr">
        <is>
          <t>LV17, LV18</t>
        </is>
      </c>
    </row>
    <row r="264">
      <c r="A264" s="10" t="inlineStr">
        <is>
          <t>Э04</t>
        </is>
      </c>
      <c r="B264" s="10" t="inlineStr">
        <is>
          <t>СП-03.4</t>
        </is>
      </c>
      <c r="C264" s="10" t="n">
        <v>13</v>
      </c>
      <c r="D264" s="10" t="inlineStr">
        <is>
          <t>Гофра Ø32 (AV-трасса) / Ø25 (ТВ-ниша → консоль) + 12В-триггер 2×0,75</t>
        </is>
      </c>
      <c r="E264" s="10" t="n">
        <v>7</v>
      </c>
      <c r="F264" s="10" t="inlineStr">
        <is>
          <t>м</t>
        </is>
      </c>
      <c r="G264" s="11" t="n">
        <v>90</v>
      </c>
      <c r="H264" s="11">
        <f>E264*G264</f>
        <v/>
      </c>
      <c r="I264" s="10" t="inlineStr">
        <is>
          <t>R1, R7</t>
        </is>
      </c>
      <c r="J264" s="10" t="inlineStr">
        <is>
          <t>LV08, LV04, LV11</t>
        </is>
      </c>
    </row>
    <row r="265">
      <c r="A265" s="10" t="inlineStr">
        <is>
          <t>Э04</t>
        </is>
      </c>
      <c r="B265" s="10" t="inlineStr">
        <is>
          <t>СП-03.4</t>
        </is>
      </c>
      <c r="C265" s="10" t="n">
        <v>14</v>
      </c>
      <c r="D265" s="10" t="inlineStr">
        <is>
          <t>Кабель HDMI 2.1 оптический (AOC) 10 м</t>
        </is>
      </c>
      <c r="E265" s="10" t="n">
        <v>1</v>
      </c>
      <c r="F265" s="10" t="inlineStr">
        <is>
          <t>шт</t>
        </is>
      </c>
      <c r="G265" s="11" t="n">
        <v>9000</v>
      </c>
      <c r="H265" s="11">
        <f>E265*G265</f>
        <v/>
      </c>
      <c r="I265" s="10" t="inlineStr">
        <is>
          <t>R7</t>
        </is>
      </c>
      <c r="J265" s="10" t="inlineStr">
        <is>
          <t>LV08</t>
        </is>
      </c>
    </row>
    <row r="266">
      <c r="A266" s="10" t="inlineStr">
        <is>
          <t>Э13</t>
        </is>
      </c>
      <c r="B266" s="10" t="inlineStr">
        <is>
          <t>СП-03.4</t>
        </is>
      </c>
      <c r="C266" s="10" t="n">
        <v>15</v>
      </c>
      <c r="D266" s="10" t="inlineStr">
        <is>
          <t>Шлюз Zigbee (Яндекс-совместимый)</t>
        </is>
      </c>
      <c r="E266" s="10" t="n">
        <v>1</v>
      </c>
      <c r="F266" s="10" t="inlineStr">
        <is>
          <t>шт</t>
        </is>
      </c>
      <c r="G266" s="11" t="n">
        <v>7000</v>
      </c>
      <c r="H266" s="11">
        <f>E266*G266</f>
        <v/>
      </c>
      <c r="I266" s="10" t="inlineStr">
        <is>
          <t>R4</t>
        </is>
      </c>
      <c r="J266" s="10" t="inlineStr">
        <is>
          <t>LV20</t>
        </is>
      </c>
    </row>
    <row r="267">
      <c r="A267" s="10" t="inlineStr">
        <is>
          <t>Э13</t>
        </is>
      </c>
      <c r="B267" s="10" t="inlineStr">
        <is>
          <t>СП-03.4</t>
        </is>
      </c>
      <c r="C267" s="10" t="n">
        <v>16</v>
      </c>
      <c r="D267" s="10" t="inlineStr">
        <is>
          <t>Контроллер защиты от протечек 12 В с АКБ (проводные датчики, Zigbee/Wi-Fi)</t>
        </is>
      </c>
      <c r="E267" s="10" t="n">
        <v>1</v>
      </c>
      <c r="F267" s="10" t="inlineStr">
        <is>
          <t>шт</t>
        </is>
      </c>
      <c r="G267" s="11" t="n">
        <v>18000</v>
      </c>
      <c r="H267" s="11">
        <f>E267*G267</f>
        <v/>
      </c>
      <c r="I267" s="10" t="inlineStr">
        <is>
          <t>R4</t>
        </is>
      </c>
      <c r="J267" s="10" t="inlineStr">
        <is>
          <t>plumbing.json leak_protection; F64</t>
        </is>
      </c>
    </row>
    <row r="268">
      <c r="A268" s="10" t="inlineStr">
        <is>
          <t>Э05</t>
        </is>
      </c>
      <c r="B268" s="10" t="inlineStr">
        <is>
          <t>СП-03.4</t>
        </is>
      </c>
      <c r="C268" s="10" t="n">
        <v>17</v>
      </c>
      <c r="D268" s="10" t="inlineStr">
        <is>
          <t>Кран шаровой с электроприводом 12 В ½″–¾″</t>
        </is>
      </c>
      <c r="E268" s="10" t="n">
        <v>4</v>
      </c>
      <c r="F268" s="10" t="inlineStr">
        <is>
          <t>шт</t>
        </is>
      </c>
      <c r="G268" s="11" t="n">
        <v>8500</v>
      </c>
      <c r="H268" s="11">
        <f>E268*G268</f>
        <v/>
      </c>
      <c r="I268" s="10" t="inlineStr">
        <is>
          <t>R5, R6</t>
        </is>
      </c>
      <c r="J268" s="10" t="inlineStr">
        <is>
          <t>EV1, EV2, EV3, EV4; F77, F82</t>
        </is>
      </c>
    </row>
    <row r="269">
      <c r="A269" s="10" t="inlineStr">
        <is>
          <t>Э13</t>
        </is>
      </c>
      <c r="B269" s="10" t="inlineStr">
        <is>
          <t>СП-03.4</t>
        </is>
      </c>
      <c r="C269" s="10" t="n">
        <v>18</v>
      </c>
      <c r="D269" s="10" t="inlineStr">
        <is>
          <t>Датчик протечки проводной</t>
        </is>
      </c>
      <c r="E269" s="10" t="n">
        <v>7</v>
      </c>
      <c r="F269" s="10" t="inlineStr">
        <is>
          <t>шт</t>
        </is>
      </c>
      <c r="G269" s="11" t="n">
        <v>1800</v>
      </c>
      <c r="H269" s="11">
        <f>E269*G269</f>
        <v/>
      </c>
      <c r="I269" s="10" t="inlineStr">
        <is>
          <t>R3, R5, R6</t>
        </is>
      </c>
      <c r="J269" s="10" t="inlineStr">
        <is>
          <t>LS1, LS2, LS3, LS4, LS5, LS6, LS7; F22, F76, F81</t>
        </is>
      </c>
    </row>
    <row r="270">
      <c r="A270" s="10" t="inlineStr">
        <is>
          <t>Э13</t>
        </is>
      </c>
      <c r="B270" s="10" t="inlineStr">
        <is>
          <t>СП-03.4</t>
        </is>
      </c>
      <c r="C270" s="10" t="n">
        <v>19</v>
      </c>
      <c r="D270" s="10" t="inlineStr">
        <is>
          <t>ИБП 600 ВА для СС-щита (роутер, шлюз, контроллер)</t>
        </is>
      </c>
      <c r="E270" s="10" t="n">
        <v>1</v>
      </c>
      <c r="F270" s="10" t="inlineStr">
        <is>
          <t>шт</t>
        </is>
      </c>
      <c r="G270" s="11" t="n">
        <v>7000</v>
      </c>
      <c r="H270" s="11">
        <f>E270*G270</f>
        <v/>
      </c>
      <c r="I270" s="10" t="inlineStr">
        <is>
          <t>R4</t>
        </is>
      </c>
      <c r="J270" s="10" t="inlineStr">
        <is>
          <t>leak_protection.controller</t>
        </is>
      </c>
    </row>
    <row r="271">
      <c r="A271" s="10" t="inlineStr">
        <is>
          <t>Э13</t>
        </is>
      </c>
      <c r="B271" s="10" t="inlineStr">
        <is>
          <t>СП-03.4</t>
        </is>
      </c>
      <c r="C271" s="10" t="n">
        <v>20</v>
      </c>
      <c r="D271" s="10" t="inlineStr">
        <is>
          <t>Датчик открытия Zigbee (окна O2, O3, створки балкона, вход)</t>
        </is>
      </c>
      <c r="E271" s="10" t="n">
        <v>6</v>
      </c>
      <c r="F271" s="10" t="inlineStr">
        <is>
          <t>шт</t>
        </is>
      </c>
      <c r="G271" s="11" t="n">
        <v>1900</v>
      </c>
      <c r="H271" s="11">
        <f>E271*G271</f>
        <v/>
      </c>
      <c r="I271" s="10" t="inlineStr">
        <is>
          <t>R1, R2, R4, R7</t>
        </is>
      </c>
      <c r="J271" s="10" t="inlineStr">
        <is>
          <t>LV21</t>
        </is>
      </c>
    </row>
    <row r="272">
      <c r="A272" s="10" t="inlineStr">
        <is>
          <t>Э13</t>
        </is>
      </c>
      <c r="B272" s="10" t="inlineStr">
        <is>
          <t>СП-03.4</t>
        </is>
      </c>
      <c r="C272" s="10" t="n">
        <v>21</v>
      </c>
      <c r="D272" s="10" t="inlineStr">
        <is>
          <t>Сценарная кнопка Zigbee (Утро/Ужин/Кино/Уход)</t>
        </is>
      </c>
      <c r="E272" s="10" t="n">
        <v>4</v>
      </c>
      <c r="F272" s="10" t="inlineStr">
        <is>
          <t>шт</t>
        </is>
      </c>
      <c r="G272" s="11" t="n">
        <v>2500</v>
      </c>
      <c r="H272" s="11">
        <f>E272*G272</f>
        <v/>
      </c>
      <c r="I272" s="10" t="inlineStr">
        <is>
          <t>R2, R3, R4, R7</t>
        </is>
      </c>
      <c r="J272" s="10" t="inlineStr">
        <is>
          <t>ZB-1, ZB-2, ZB-3, ZB-4; LV22</t>
        </is>
      </c>
    </row>
    <row r="273">
      <c r="A273" s="10" t="inlineStr">
        <is>
          <t>Э13</t>
        </is>
      </c>
      <c r="B273" s="10" t="inlineStr">
        <is>
          <t>СП-03.4</t>
        </is>
      </c>
      <c r="C273" s="10" t="n">
        <v>22</v>
      </c>
      <c r="D273" s="10" t="inlineStr">
        <is>
          <t>Датчик движения (потолочный 230 В / SELV / батарейный)</t>
        </is>
      </c>
      <c r="E273" s="10" t="n">
        <v>4</v>
      </c>
      <c r="F273" s="10" t="inlineStr">
        <is>
          <t>шт</t>
        </is>
      </c>
      <c r="G273" s="11" t="n">
        <v>2600</v>
      </c>
      <c r="H273" s="11">
        <f>E273*G273</f>
        <v/>
      </c>
      <c r="I273" s="10" t="inlineStr">
        <is>
          <t>R1, R4, R5</t>
        </is>
      </c>
      <c r="J273" s="10" t="inlineStr">
        <is>
          <t>LV23, LV24, LV25, LV26</t>
        </is>
      </c>
    </row>
    <row r="274">
      <c r="A274" s="10" t="inlineStr">
        <is>
          <t>Э13</t>
        </is>
      </c>
      <c r="B274" s="10" t="inlineStr">
        <is>
          <t>СП-03.4</t>
        </is>
      </c>
      <c r="C274" s="10" t="n">
        <v>23</v>
      </c>
      <c r="D274" s="10" t="inlineStr">
        <is>
          <t>Модуль Zigbee привода экрана (ZB-SCR)</t>
        </is>
      </c>
      <c r="E274" s="10" t="n">
        <v>1</v>
      </c>
      <c r="F274" s="10" t="inlineStr">
        <is>
          <t>шт</t>
        </is>
      </c>
      <c r="G274" s="11" t="n">
        <v>3500</v>
      </c>
      <c r="H274" s="11">
        <f>E274*G274</f>
        <v/>
      </c>
      <c r="I274" s="10" t="inlineStr">
        <is>
          <t>R3</t>
        </is>
      </c>
      <c r="J274" s="10" t="inlineStr">
        <is>
          <t>LV11; P-K16</t>
        </is>
      </c>
    </row>
    <row r="275">
      <c r="A275" s="10" t="inlineStr">
        <is>
          <t>Э13</t>
        </is>
      </c>
      <c r="B275" s="10" t="inlineStr">
        <is>
          <t>СП-03.4</t>
        </is>
      </c>
      <c r="C275" s="10" t="n">
        <v>24</v>
      </c>
      <c r="D275" s="10" t="inlineStr">
        <is>
          <t>Извещатели автономные дымовые ИП 212 ×4 + тепловой ИП 101 (кухня)</t>
        </is>
      </c>
      <c r="E275" s="10" t="n">
        <v>1</v>
      </c>
      <c r="F275" s="10" t="inlineStr">
        <is>
          <t>компл</t>
        </is>
      </c>
      <c r="G275" s="11" t="n">
        <v>4500</v>
      </c>
      <c r="H275" s="11">
        <f>E275*G275</f>
        <v/>
      </c>
      <c r="I275" s="10" t="inlineStr">
        <is>
          <t>R1–R4</t>
        </is>
      </c>
      <c r="J275" s="10" t="inlineStr">
        <is>
          <t>LV28</t>
        </is>
      </c>
    </row>
    <row r="276">
      <c r="D276" s="6" t="inlineStr">
        <is>
          <t>Итого материалы и изделия (Ремонт)</t>
        </is>
      </c>
      <c r="H276" s="4">
        <f>SUM(H2:H275)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60" customWidth="1" min="3" max="3"/>
    <col width="8" customWidth="1" min="4" max="4"/>
    <col width="7" customWidth="1" min="5" max="5"/>
    <col width="12" customWidth="1" min="6" max="6"/>
    <col width="14" customWidth="1" min="7" max="7"/>
    <col width="10" customWidth="1" min="8" max="8"/>
    <col width="30" customWidth="1" min="9" max="9"/>
  </cols>
  <sheetData>
    <row r="1">
      <c r="A1" s="3" t="inlineStr">
        <is>
          <t>Спецификация</t>
        </is>
      </c>
      <c r="B1" s="3" t="inlineStr">
        <is>
          <t>Поз.</t>
        </is>
      </c>
      <c r="C1" s="3" t="inlineStr">
        <is>
          <t>Наименование</t>
        </is>
      </c>
      <c r="D1" s="3" t="inlineStr">
        <is>
          <t>Кол-во</t>
        </is>
      </c>
      <c r="E1" s="3" t="inlineStr">
        <is>
          <t>Ед.</t>
        </is>
      </c>
      <c r="F1" s="3" t="inlineStr">
        <is>
          <t>Цена, ₽</t>
        </is>
      </c>
      <c r="G1" s="3" t="inlineStr">
        <is>
          <t>Сумма, ₽</t>
        </is>
      </c>
      <c r="H1" s="3" t="inlineStr">
        <is>
          <t>Помещение</t>
        </is>
      </c>
      <c r="I1" s="3" t="inlineStr">
        <is>
          <t>Ссылка</t>
        </is>
      </c>
    </row>
    <row r="2">
      <c r="A2" s="10" t="inlineStr">
        <is>
          <t>СП-02.1</t>
        </is>
      </c>
      <c r="B2" s="10" t="n">
        <v>6</v>
      </c>
      <c r="C2" s="10" t="inlineStr">
        <is>
          <t>Стол обеденный 1800×900 (шпон дуба/массив)</t>
        </is>
      </c>
      <c r="D2" s="10" t="n">
        <v>1</v>
      </c>
      <c r="E2" s="10" t="inlineStr">
        <is>
          <t>шт</t>
        </is>
      </c>
      <c r="F2" s="11" t="n">
        <v>50000</v>
      </c>
      <c r="G2" s="11">
        <f>D2*F2</f>
        <v/>
      </c>
      <c r="H2" s="10" t="inlineStr">
        <is>
          <t>R3</t>
        </is>
      </c>
      <c r="I2" s="10" t="inlineStr">
        <is>
          <t>F25</t>
        </is>
      </c>
    </row>
    <row r="3">
      <c r="A3" s="10" t="inlineStr">
        <is>
          <t>СП-02.1</t>
        </is>
      </c>
      <c r="B3" s="10" t="n">
        <v>7</v>
      </c>
      <c r="C3" s="10" t="inlineStr">
        <is>
          <t>Стул мягкий (рогожка/велюр, каркас бук)</t>
        </is>
      </c>
      <c r="D3" s="10" t="n">
        <v>6</v>
      </c>
      <c r="E3" s="10" t="inlineStr">
        <is>
          <t>шт</t>
        </is>
      </c>
      <c r="F3" s="11" t="n">
        <v>11000</v>
      </c>
      <c r="G3" s="11">
        <f>D3*F3</f>
        <v/>
      </c>
      <c r="H3" s="10" t="inlineStr">
        <is>
          <t>R3</t>
        </is>
      </c>
      <c r="I3" s="10" t="inlineStr">
        <is>
          <t>F26, F27, F28, F29, F30, F31</t>
        </is>
      </c>
    </row>
    <row r="4">
      <c r="A4" s="10" t="inlineStr">
        <is>
          <t>СП-02.1</t>
        </is>
      </c>
      <c r="B4" s="10" t="n">
        <v>8</v>
      </c>
      <c r="C4" s="10" t="inlineStr">
        <is>
          <t>П-диван по размеру: спинная секция 3023×750 + 2 боковые 650×700 (отсек AV), съёмные чехлы, на ножках</t>
        </is>
      </c>
      <c r="D4" s="10" t="n">
        <v>1</v>
      </c>
      <c r="E4" s="10" t="inlineStr">
        <is>
          <t>компл</t>
        </is>
      </c>
      <c r="F4" s="11" t="n">
        <v>155000</v>
      </c>
      <c r="G4" s="11">
        <f>D4*F4</f>
        <v/>
      </c>
      <c r="H4" s="10" t="inlineStr">
        <is>
          <t>R7</t>
        </is>
      </c>
      <c r="I4" s="10" t="inlineStr">
        <is>
          <t>F33, F34, F35</t>
        </is>
      </c>
    </row>
    <row r="5">
      <c r="A5" s="10" t="inlineStr">
        <is>
          <t>СП-02.1</t>
        </is>
      </c>
      <c r="B5" s="10" t="n">
        <v>9</v>
      </c>
      <c r="C5" s="10" t="inlineStr">
        <is>
          <t>Пуф-стол 500×800</t>
        </is>
      </c>
      <c r="D5" s="10" t="n">
        <v>1</v>
      </c>
      <c r="E5" s="10" t="inlineStr">
        <is>
          <t>шт</t>
        </is>
      </c>
      <c r="F5" s="11" t="n">
        <v>18000</v>
      </c>
      <c r="G5" s="11">
        <f>D5*F5</f>
        <v/>
      </c>
      <c r="H5" s="10" t="inlineStr">
        <is>
          <t>R7</t>
        </is>
      </c>
      <c r="I5" s="10" t="inlineStr">
        <is>
          <t>F36</t>
        </is>
      </c>
    </row>
    <row r="6">
      <c r="A6" s="10" t="inlineStr">
        <is>
          <t>СП-02.1</t>
        </is>
      </c>
      <c r="B6" s="10" t="n">
        <v>10</v>
      </c>
      <c r="C6" s="10" t="inlineStr">
        <is>
          <t>Кровать 1800×2000 с мягким изголовьем, рама на глайдерах</t>
        </is>
      </c>
      <c r="D6" s="10" t="n">
        <v>1</v>
      </c>
      <c r="E6" s="10" t="inlineStr">
        <is>
          <t>шт</t>
        </is>
      </c>
      <c r="F6" s="11" t="n">
        <v>75000</v>
      </c>
      <c r="G6" s="11">
        <f>D6*F6</f>
        <v/>
      </c>
      <c r="H6" s="10" t="inlineStr">
        <is>
          <t>R1</t>
        </is>
      </c>
      <c r="I6" s="10" t="inlineStr">
        <is>
          <t>F42</t>
        </is>
      </c>
    </row>
    <row r="7">
      <c r="A7" s="10" t="inlineStr">
        <is>
          <t>СП-02.1</t>
        </is>
      </c>
      <c r="B7" s="10" t="n">
        <v>11</v>
      </c>
      <c r="C7" s="10" t="inlineStr">
        <is>
          <t>Матрас 1800×2000 средней жёсткости</t>
        </is>
      </c>
      <c r="D7" s="10" t="n">
        <v>1</v>
      </c>
      <c r="E7" s="10" t="inlineStr">
        <is>
          <t>шт</t>
        </is>
      </c>
      <c r="F7" s="11" t="n">
        <v>40000</v>
      </c>
      <c r="G7" s="11">
        <f>D7*F7</f>
        <v/>
      </c>
      <c r="H7" s="10" t="inlineStr">
        <is>
          <t>R1</t>
        </is>
      </c>
      <c r="I7" s="10" t="inlineStr">
        <is>
          <t>F42</t>
        </is>
      </c>
    </row>
    <row r="8">
      <c r="A8" s="10" t="inlineStr">
        <is>
          <t>СП-02.1</t>
        </is>
      </c>
      <c r="B8" s="10" t="n">
        <v>12</v>
      </c>
      <c r="C8" s="10" t="inlineStr">
        <is>
          <t>Тумба прикроватная подвесная 450×500</t>
        </is>
      </c>
      <c r="D8" s="10" t="n">
        <v>2</v>
      </c>
      <c r="E8" s="10" t="inlineStr">
        <is>
          <t>шт</t>
        </is>
      </c>
      <c r="F8" s="11" t="n">
        <v>9000</v>
      </c>
      <c r="G8" s="11">
        <f>D8*F8</f>
        <v/>
      </c>
      <c r="H8" s="10" t="inlineStr">
        <is>
          <t>R1</t>
        </is>
      </c>
      <c r="I8" s="10" t="inlineStr">
        <is>
          <t>F43, F44</t>
        </is>
      </c>
    </row>
    <row r="9">
      <c r="A9" s="10" t="inlineStr">
        <is>
          <t>СП-02.1</t>
        </is>
      </c>
      <c r="B9" s="10" t="n">
        <v>13</v>
      </c>
      <c r="C9" s="10" t="inlineStr">
        <is>
          <t>ТВ-консоль подвесная 1600×300 МДФ эмаль, низ +250</t>
        </is>
      </c>
      <c r="D9" s="10" t="n">
        <v>1</v>
      </c>
      <c r="E9" s="10" t="inlineStr">
        <is>
          <t>шт</t>
        </is>
      </c>
      <c r="F9" s="11" t="n">
        <v>32000</v>
      </c>
      <c r="G9" s="11">
        <f>D9*F9</f>
        <v/>
      </c>
      <c r="H9" s="10" t="inlineStr">
        <is>
          <t>R1</t>
        </is>
      </c>
      <c r="I9" s="10" t="inlineStr">
        <is>
          <t>F47</t>
        </is>
      </c>
    </row>
    <row r="10">
      <c r="A10" s="10" t="inlineStr">
        <is>
          <t>СП-02.1</t>
        </is>
      </c>
      <c r="B10" s="10" t="n">
        <v>14</v>
      </c>
      <c r="C10" s="10" t="inlineStr">
        <is>
          <t>Стол рабочий 1400×600, столешница дуб, консоль/подстолье к стене</t>
        </is>
      </c>
      <c r="D10" s="10" t="n">
        <v>1</v>
      </c>
      <c r="E10" s="10" t="inlineStr">
        <is>
          <t>шт</t>
        </is>
      </c>
      <c r="F10" s="11" t="n">
        <v>35000</v>
      </c>
      <c r="G10" s="11">
        <f>D10*F10</f>
        <v/>
      </c>
      <c r="H10" s="10" t="inlineStr">
        <is>
          <t>R1</t>
        </is>
      </c>
      <c r="I10" s="10" t="inlineStr">
        <is>
          <t>F49</t>
        </is>
      </c>
    </row>
    <row r="11">
      <c r="A11" s="10" t="inlineStr">
        <is>
          <t>СП-02.1</t>
        </is>
      </c>
      <c r="B11" s="10" t="n">
        <v>15</v>
      </c>
      <c r="C11" s="10" t="inlineStr">
        <is>
          <t>Кресло рабочее эргономичное</t>
        </is>
      </c>
      <c r="D11" s="10" t="n">
        <v>1</v>
      </c>
      <c r="E11" s="10" t="inlineStr">
        <is>
          <t>шт</t>
        </is>
      </c>
      <c r="F11" s="11" t="n">
        <v>18000</v>
      </c>
      <c r="G11" s="11">
        <f>D11*F11</f>
        <v/>
      </c>
      <c r="H11" s="10" t="inlineStr">
        <is>
          <t>R1</t>
        </is>
      </c>
      <c r="I11" s="10" t="inlineStr">
        <is>
          <t>F50</t>
        </is>
      </c>
    </row>
    <row r="12">
      <c r="A12" s="10" t="inlineStr">
        <is>
          <t>СП-02.1</t>
        </is>
      </c>
      <c r="B12" s="10" t="n">
        <v>16</v>
      </c>
      <c r="C12" s="10" t="inlineStr">
        <is>
          <t>Шкаф детский 1800×600×2400, 2 секции, распашной, крепление к стене</t>
        </is>
      </c>
      <c r="D12" s="10" t="n">
        <v>1</v>
      </c>
      <c r="E12" s="10" t="inlineStr">
        <is>
          <t>шт</t>
        </is>
      </c>
      <c r="F12" s="11" t="n">
        <v>38000</v>
      </c>
      <c r="G12" s="11">
        <f>D12*F12</f>
        <v/>
      </c>
      <c r="H12" s="10" t="inlineStr">
        <is>
          <t>R2</t>
        </is>
      </c>
      <c r="I12" s="10" t="inlineStr">
        <is>
          <t>F52</t>
        </is>
      </c>
    </row>
    <row r="13">
      <c r="A13" s="10" t="inlineStr">
        <is>
          <t>СП-02.1</t>
        </is>
      </c>
      <c r="B13" s="10" t="n">
        <v>17</v>
      </c>
      <c r="C13" s="10" t="inlineStr">
        <is>
          <t>Кровать детская 900×2000 с ящиками для игрушек</t>
        </is>
      </c>
      <c r="D13" s="10" t="n">
        <v>1</v>
      </c>
      <c r="E13" s="10" t="inlineStr">
        <is>
          <t>шт</t>
        </is>
      </c>
      <c r="F13" s="11" t="n">
        <v>28000</v>
      </c>
      <c r="G13" s="11">
        <f>D13*F13</f>
        <v/>
      </c>
      <c r="H13" s="10" t="inlineStr">
        <is>
          <t>R2</t>
        </is>
      </c>
      <c r="I13" s="10" t="inlineStr">
        <is>
          <t>F53</t>
        </is>
      </c>
    </row>
    <row r="14">
      <c r="A14" s="10" t="inlineStr">
        <is>
          <t>СП-02.1</t>
        </is>
      </c>
      <c r="B14" s="10" t="n">
        <v>18</v>
      </c>
      <c r="C14" s="10" t="inlineStr">
        <is>
          <t>Матрас 900×2000 детский</t>
        </is>
      </c>
      <c r="D14" s="10" t="n">
        <v>1</v>
      </c>
      <c r="E14" s="10" t="inlineStr">
        <is>
          <t>шт</t>
        </is>
      </c>
      <c r="F14" s="11" t="n">
        <v>12000</v>
      </c>
      <c r="G14" s="11">
        <f>D14*F14</f>
        <v/>
      </c>
      <c r="H14" s="10" t="inlineStr">
        <is>
          <t>R2</t>
        </is>
      </c>
      <c r="I14" s="10" t="inlineStr">
        <is>
          <t>F53</t>
        </is>
      </c>
    </row>
    <row r="15">
      <c r="A15" s="10" t="inlineStr">
        <is>
          <t>СП-02.1</t>
        </is>
      </c>
      <c r="B15" s="10" t="n">
        <v>19</v>
      </c>
      <c r="C15" s="10" t="inlineStr">
        <is>
          <t>Стол «растущий» 1200×600 с регулировкой</t>
        </is>
      </c>
      <c r="D15" s="10" t="n">
        <v>1</v>
      </c>
      <c r="E15" s="10" t="inlineStr">
        <is>
          <t>шт</t>
        </is>
      </c>
      <c r="F15" s="11" t="n">
        <v>24000</v>
      </c>
      <c r="G15" s="11">
        <f>D15*F15</f>
        <v/>
      </c>
      <c r="H15" s="10" t="inlineStr">
        <is>
          <t>R2</t>
        </is>
      </c>
      <c r="I15" s="10" t="inlineStr">
        <is>
          <t>F54</t>
        </is>
      </c>
    </row>
    <row r="16">
      <c r="A16" s="10" t="inlineStr">
        <is>
          <t>СП-02.1</t>
        </is>
      </c>
      <c r="B16" s="10" t="n">
        <v>20</v>
      </c>
      <c r="C16" s="10" t="inlineStr">
        <is>
          <t>Стул «растущий»</t>
        </is>
      </c>
      <c r="D16" s="10" t="n">
        <v>1</v>
      </c>
      <c r="E16" s="10" t="inlineStr">
        <is>
          <t>шт</t>
        </is>
      </c>
      <c r="F16" s="11" t="n">
        <v>9000</v>
      </c>
      <c r="G16" s="11">
        <f>D16*F16</f>
        <v/>
      </c>
      <c r="H16" s="10" t="inlineStr">
        <is>
          <t>R2</t>
        </is>
      </c>
      <c r="I16" s="10" t="inlineStr">
        <is>
          <t>F55</t>
        </is>
      </c>
    </row>
    <row r="17">
      <c r="A17" s="10" t="inlineStr">
        <is>
          <t>СП-02.1</t>
        </is>
      </c>
      <c r="B17" s="10" t="n">
        <v>21</v>
      </c>
      <c r="C17" s="10" t="inlineStr">
        <is>
          <t>ДСК настенный 800×800 (крепление к W6 и потолку)</t>
        </is>
      </c>
      <c r="D17" s="10" t="n">
        <v>1</v>
      </c>
      <c r="E17" s="10" t="inlineStr">
        <is>
          <t>шт</t>
        </is>
      </c>
      <c r="F17" s="11" t="n">
        <v>19000</v>
      </c>
      <c r="G17" s="11">
        <f>D17*F17</f>
        <v/>
      </c>
      <c r="H17" s="10" t="inlineStr">
        <is>
          <t>R2</t>
        </is>
      </c>
      <c r="I17" s="10" t="inlineStr">
        <is>
          <t>F56</t>
        </is>
      </c>
    </row>
    <row r="18">
      <c r="A18" s="10" t="inlineStr">
        <is>
          <t>СП-02.1</t>
        </is>
      </c>
      <c r="B18" s="10" t="n">
        <v>22</v>
      </c>
      <c r="C18" s="10" t="inlineStr">
        <is>
          <t>Стеллаж низкий навесной 1600×350 h 600</t>
        </is>
      </c>
      <c r="D18" s="10" t="n">
        <v>1</v>
      </c>
      <c r="E18" s="10" t="inlineStr">
        <is>
          <t>шт</t>
        </is>
      </c>
      <c r="F18" s="11" t="n">
        <v>11000</v>
      </c>
      <c r="G18" s="11">
        <f>D18*F18</f>
        <v/>
      </c>
      <c r="H18" s="10" t="inlineStr">
        <is>
          <t>R2</t>
        </is>
      </c>
      <c r="I18" s="10" t="inlineStr">
        <is>
          <t>F57</t>
        </is>
      </c>
    </row>
    <row r="19">
      <c r="A19" s="10" t="inlineStr">
        <is>
          <t>СП-02.1</t>
        </is>
      </c>
      <c r="B19" s="10" t="n">
        <v>23</v>
      </c>
      <c r="C19" s="10" t="inlineStr">
        <is>
          <t>Ковёр игровой 2200×1800 (безворсовый, допуск на ТП)</t>
        </is>
      </c>
      <c r="D19" s="10" t="n">
        <v>1</v>
      </c>
      <c r="E19" s="10" t="inlineStr">
        <is>
          <t>шт</t>
        </is>
      </c>
      <c r="F19" s="11" t="n">
        <v>9000</v>
      </c>
      <c r="G19" s="11">
        <f>D19*F19</f>
        <v/>
      </c>
      <c r="H19" s="10" t="inlineStr">
        <is>
          <t>R2</t>
        </is>
      </c>
      <c r="I19" s="10" t="inlineStr">
        <is>
          <t>F58</t>
        </is>
      </c>
    </row>
    <row r="20">
      <c r="A20" s="10" t="inlineStr">
        <is>
          <t>СП-02.1</t>
        </is>
      </c>
      <c r="B20" s="10" t="n">
        <v>24</v>
      </c>
      <c r="C20" s="10" t="inlineStr">
        <is>
          <t>Банкетка откидная 500×350 на NW9</t>
        </is>
      </c>
      <c r="D20" s="10" t="n">
        <v>1</v>
      </c>
      <c r="E20" s="10" t="inlineStr">
        <is>
          <t>шт</t>
        </is>
      </c>
      <c r="F20" s="11" t="n">
        <v>14000</v>
      </c>
      <c r="G20" s="11">
        <f>D20*F20</f>
        <v/>
      </c>
      <c r="H20" s="10" t="inlineStr">
        <is>
          <t>R4</t>
        </is>
      </c>
      <c r="I20" s="10" t="inlineStr">
        <is>
          <t>F63</t>
        </is>
      </c>
    </row>
    <row r="21">
      <c r="A21" s="10" t="inlineStr">
        <is>
          <t>СП-02.1</t>
        </is>
      </c>
      <c r="B21" s="10" t="n">
        <v>25</v>
      </c>
      <c r="C21" s="10" t="inlineStr">
        <is>
          <t>Доставка, подъём (1 этаж) и сборка отдельностоящей мебели</t>
        </is>
      </c>
      <c r="D21" s="10" t="n">
        <v>1</v>
      </c>
      <c r="E21" s="10" t="inlineStr">
        <is>
          <t>усл</t>
        </is>
      </c>
      <c r="F21" s="11" t="n">
        <v>15000</v>
      </c>
      <c r="G21" s="11">
        <f>D21*F21</f>
        <v/>
      </c>
      <c r="H21" s="10" t="inlineStr">
        <is>
          <t>—</t>
        </is>
      </c>
      <c r="I21" s="10" t="inlineStr">
        <is>
          <t>АР-07</t>
        </is>
      </c>
    </row>
    <row r="22">
      <c r="A22" s="10" t="inlineStr">
        <is>
          <t>СП-02.2</t>
        </is>
      </c>
      <c r="B22" s="10" t="n">
        <v>1</v>
      </c>
      <c r="C22" s="10" t="inlineStr">
        <is>
          <t>Модуль K-01 Пенал угловой 600 (сухие продукты; ниша встраиваемой СВЧ — опция)</t>
        </is>
      </c>
      <c r="D22" s="10" t="n">
        <v>1</v>
      </c>
      <c r="E22" s="10" t="inlineStr">
        <is>
          <t>шт</t>
        </is>
      </c>
      <c r="F22" s="11" t="n">
        <v>38000</v>
      </c>
      <c r="G22" s="11">
        <f>D22*F22</f>
        <v/>
      </c>
      <c r="H22" s="10" t="inlineStr">
        <is>
          <t>R3</t>
        </is>
      </c>
      <c r="I22" s="10" t="inlineStr">
        <is>
          <t>F01; kitchen.md</t>
        </is>
      </c>
    </row>
    <row r="23">
      <c r="A23" s="10" t="inlineStr">
        <is>
          <t>СП-02.2</t>
        </is>
      </c>
      <c r="B23" s="10" t="n">
        <v>2</v>
      </c>
      <c r="C23" s="10" t="inlineStr">
        <is>
          <t>Модуль K-02 База 450, 3 ящика (кастрюли); в ней розетка духовки</t>
        </is>
      </c>
      <c r="D23" s="10" t="n">
        <v>1</v>
      </c>
      <c r="E23" s="10" t="inlineStr">
        <is>
          <t>шт</t>
        </is>
      </c>
      <c r="F23" s="11" t="n">
        <v>22000</v>
      </c>
      <c r="G23" s="11">
        <f>D23*F23</f>
        <v/>
      </c>
      <c r="H23" s="10" t="inlineStr">
        <is>
          <t>R3</t>
        </is>
      </c>
      <c r="I23" s="10" t="inlineStr">
        <is>
          <t>F02; kitchen.md</t>
        </is>
      </c>
    </row>
    <row r="24">
      <c r="A24" s="10" t="inlineStr">
        <is>
          <t>СП-02.2</t>
        </is>
      </c>
      <c r="B24" s="10" t="n">
        <v>3</v>
      </c>
      <c r="C24" s="10" t="inlineStr">
        <is>
          <t>Модуль K-03 База 600 под духовой шкаф + индукционная панель</t>
        </is>
      </c>
      <c r="D24" s="10" t="n">
        <v>1</v>
      </c>
      <c r="E24" s="10" t="inlineStr">
        <is>
          <t>шт</t>
        </is>
      </c>
      <c r="F24" s="11" t="n">
        <v>16000</v>
      </c>
      <c r="G24" s="11">
        <f>D24*F24</f>
        <v/>
      </c>
      <c r="H24" s="10" t="inlineStr">
        <is>
          <t>R3</t>
        </is>
      </c>
      <c r="I24" s="10" t="inlineStr">
        <is>
          <t>F03; kitchen.md</t>
        </is>
      </c>
    </row>
    <row r="25">
      <c r="A25" s="10" t="inlineStr">
        <is>
          <t>СП-02.2</t>
        </is>
      </c>
      <c r="B25" s="10" t="n">
        <v>4</v>
      </c>
      <c r="C25" s="10" t="inlineStr">
        <is>
          <t>Модуль K-04 База 600, 3 ящика (приборы, основная рабочая зона)</t>
        </is>
      </c>
      <c r="D25" s="10" t="n">
        <v>1</v>
      </c>
      <c r="E25" s="10" t="inlineStr">
        <is>
          <t>шт</t>
        </is>
      </c>
      <c r="F25" s="11" t="n">
        <v>26000</v>
      </c>
      <c r="G25" s="11">
        <f>D25*F25</f>
        <v/>
      </c>
      <c r="H25" s="10" t="inlineStr">
        <is>
          <t>R3</t>
        </is>
      </c>
      <c r="I25" s="10" t="inlineStr">
        <is>
          <t>F04; kitchen.md</t>
        </is>
      </c>
    </row>
    <row r="26">
      <c r="A26" s="10" t="inlineStr">
        <is>
          <t>СП-02.2</t>
        </is>
      </c>
      <c r="B26" s="10" t="n">
        <v>5</v>
      </c>
      <c r="C26" s="10" t="inlineStr">
        <is>
          <t>Модуль K-05 База 600 под мойку (влагостойкая ЛДСП, поддон)</t>
        </is>
      </c>
      <c r="D26" s="10" t="n">
        <v>1</v>
      </c>
      <c r="E26" s="10" t="inlineStr">
        <is>
          <t>шт</t>
        </is>
      </c>
      <c r="F26" s="11" t="n">
        <v>18000</v>
      </c>
      <c r="G26" s="11">
        <f>D26*F26</f>
        <v/>
      </c>
      <c r="H26" s="10" t="inlineStr">
        <is>
          <t>R3</t>
        </is>
      </c>
      <c r="I26" s="10" t="inlineStr">
        <is>
          <t>F05; kitchen.md</t>
        </is>
      </c>
    </row>
    <row r="27">
      <c r="A27" s="10" t="inlineStr">
        <is>
          <t>СП-02.2</t>
        </is>
      </c>
      <c r="B27" s="10" t="n">
        <v>6</v>
      </c>
      <c r="C27" s="10" t="inlineStr">
        <is>
          <t>Модуль K-07 Пенал 600 под встраиваемый холодильник (ниша 1780–1940)</t>
        </is>
      </c>
      <c r="D27" s="10" t="n">
        <v>1</v>
      </c>
      <c r="E27" s="10" t="inlineStr">
        <is>
          <t>шт</t>
        </is>
      </c>
      <c r="F27" s="11" t="n">
        <v>38000</v>
      </c>
      <c r="G27" s="11">
        <f>D27*F27</f>
        <v/>
      </c>
      <c r="H27" s="10" t="inlineStr">
        <is>
          <t>R3</t>
        </is>
      </c>
      <c r="I27" s="10" t="inlineStr">
        <is>
          <t>F07; kitchen.md</t>
        </is>
      </c>
    </row>
    <row r="28">
      <c r="A28" s="10" t="inlineStr">
        <is>
          <t>СП-02.2</t>
        </is>
      </c>
      <c r="B28" s="10" t="n">
        <v>7</v>
      </c>
      <c r="C28" s="10" t="inlineStr">
        <is>
          <t>Модуль K-08 Доборная панель 40 у W10</t>
        </is>
      </c>
      <c r="D28" s="10" t="n">
        <v>1</v>
      </c>
      <c r="E28" s="10" t="inlineStr">
        <is>
          <t>шт</t>
        </is>
      </c>
      <c r="F28" s="11" t="n">
        <v>4000</v>
      </c>
      <c r="G28" s="11">
        <f>D28*F28</f>
        <v/>
      </c>
      <c r="H28" s="10" t="inlineStr">
        <is>
          <t>R3</t>
        </is>
      </c>
      <c r="I28" s="10" t="inlineStr">
        <is>
          <t>F08; kitchen.md</t>
        </is>
      </c>
    </row>
    <row r="29">
      <c r="A29" s="10" t="inlineStr">
        <is>
          <t>СП-02.2</t>
        </is>
      </c>
      <c r="B29" s="10" t="n">
        <v>8</v>
      </c>
      <c r="C29" s="10" t="inlineStr">
        <is>
          <t>Модуль KW-01 Навесной 450</t>
        </is>
      </c>
      <c r="D29" s="10" t="n">
        <v>1</v>
      </c>
      <c r="E29" s="10" t="inlineStr">
        <is>
          <t>шт</t>
        </is>
      </c>
      <c r="F29" s="11" t="n">
        <v>12000</v>
      </c>
      <c r="G29" s="11">
        <f>D29*F29</f>
        <v/>
      </c>
      <c r="H29" s="10" t="inlineStr">
        <is>
          <t>R3</t>
        </is>
      </c>
      <c r="I29" s="10" t="inlineStr">
        <is>
          <t>F10; kitchen.md</t>
        </is>
      </c>
    </row>
    <row r="30">
      <c r="A30" s="10" t="inlineStr">
        <is>
          <t>СП-02.2</t>
        </is>
      </c>
      <c r="B30" s="10" t="n">
        <v>9</v>
      </c>
      <c r="C30" s="10" t="inlineStr">
        <is>
          <t>Модуль KW-02 Навесной 600 со встроенной вытяжкой</t>
        </is>
      </c>
      <c r="D30" s="10" t="n">
        <v>1</v>
      </c>
      <c r="E30" s="10" t="inlineStr">
        <is>
          <t>шт</t>
        </is>
      </c>
      <c r="F30" s="11" t="n">
        <v>15000</v>
      </c>
      <c r="G30" s="11">
        <f>D30*F30</f>
        <v/>
      </c>
      <c r="H30" s="10" t="inlineStr">
        <is>
          <t>R3</t>
        </is>
      </c>
      <c r="I30" s="10" t="inlineStr">
        <is>
          <t>F11; kitchen.md</t>
        </is>
      </c>
    </row>
    <row r="31">
      <c r="A31" s="10" t="inlineStr">
        <is>
          <t>СП-02.2</t>
        </is>
      </c>
      <c r="B31" s="10" t="n">
        <v>10</v>
      </c>
      <c r="C31" s="10" t="inlineStr">
        <is>
          <t>Модуль KW-03 Навесной 600</t>
        </is>
      </c>
      <c r="D31" s="10" t="n">
        <v>1</v>
      </c>
      <c r="E31" s="10" t="inlineStr">
        <is>
          <t>шт</t>
        </is>
      </c>
      <c r="F31" s="11" t="n">
        <v>14000</v>
      </c>
      <c r="G31" s="11">
        <f>D31*F31</f>
        <v/>
      </c>
      <c r="H31" s="10" t="inlineStr">
        <is>
          <t>R3</t>
        </is>
      </c>
      <c r="I31" s="10" t="inlineStr">
        <is>
          <t>F12; kitchen.md</t>
        </is>
      </c>
    </row>
    <row r="32">
      <c r="A32" s="10" t="inlineStr">
        <is>
          <t>СП-02.2</t>
        </is>
      </c>
      <c r="B32" s="10" t="n">
        <v>11</v>
      </c>
      <c r="C32" s="10" t="inlineStr">
        <is>
          <t>Модуль KW-04 Навесной 600 с сушкой над мойкой</t>
        </is>
      </c>
      <c r="D32" s="10" t="n">
        <v>1</v>
      </c>
      <c r="E32" s="10" t="inlineStr">
        <is>
          <t>шт</t>
        </is>
      </c>
      <c r="F32" s="11" t="n">
        <v>15000</v>
      </c>
      <c r="G32" s="11">
        <f>D32*F32</f>
        <v/>
      </c>
      <c r="H32" s="10" t="inlineStr">
        <is>
          <t>R3</t>
        </is>
      </c>
      <c r="I32" s="10" t="inlineStr">
        <is>
          <t>F13; kitchen.md</t>
        </is>
      </c>
    </row>
    <row r="33">
      <c r="A33" s="10" t="inlineStr">
        <is>
          <t>СП-02.2</t>
        </is>
      </c>
      <c r="B33" s="10" t="n">
        <v>12</v>
      </c>
      <c r="C33" s="10" t="inlineStr">
        <is>
          <t>Модуль KW-05 Навесной 600</t>
        </is>
      </c>
      <c r="D33" s="10" t="n">
        <v>1</v>
      </c>
      <c r="E33" s="10" t="inlineStr">
        <is>
          <t>шт</t>
        </is>
      </c>
      <c r="F33" s="11" t="n">
        <v>14000</v>
      </c>
      <c r="G33" s="11">
        <f>D33*F33</f>
        <v/>
      </c>
      <c r="H33" s="10" t="inlineStr">
        <is>
          <t>R3</t>
        </is>
      </c>
      <c r="I33" s="10" t="inlineStr">
        <is>
          <t>F14; kitchen.md</t>
        </is>
      </c>
    </row>
    <row r="34">
      <c r="A34" s="10" t="inlineStr">
        <is>
          <t>СП-02.2</t>
        </is>
      </c>
      <c r="B34" s="10" t="n">
        <v>13</v>
      </c>
      <c r="C34" s="10" t="inlineStr">
        <is>
          <t>Фасад ПММ 600 (шейкер C4) + крепёж к полновстраиваемой ПММ</t>
        </is>
      </c>
      <c r="D34" s="10" t="n">
        <v>1</v>
      </c>
      <c r="E34" s="10" t="inlineStr">
        <is>
          <t>шт</t>
        </is>
      </c>
      <c r="F34" s="11" t="n">
        <v>8000</v>
      </c>
      <c r="G34" s="11">
        <f>D34*F34</f>
        <v/>
      </c>
      <c r="H34" s="10" t="inlineStr">
        <is>
          <t>R3</t>
        </is>
      </c>
      <c r="I34" s="10" t="inlineStr">
        <is>
          <t>F06; kitchen.md</t>
        </is>
      </c>
    </row>
    <row r="35">
      <c r="A35" s="10" t="inlineStr">
        <is>
          <t>СП-02.2</t>
        </is>
      </c>
      <c r="B35" s="10" t="n">
        <v>14</v>
      </c>
      <c r="C35" s="10" t="inlineStr">
        <is>
          <t>Цоколь с вентрешёткой (над водяным ТП), фальш-панели, карниз-фронт CB-1 (съёмная МДФ-панель)</t>
        </is>
      </c>
      <c r="D35" s="10" t="n">
        <v>1</v>
      </c>
      <c r="E35" s="10" t="inlineStr">
        <is>
          <t>компл</t>
        </is>
      </c>
      <c r="F35" s="11" t="n">
        <v>18000</v>
      </c>
      <c r="G35" s="11">
        <f>D35*F35</f>
        <v/>
      </c>
      <c r="H35" s="10" t="inlineStr">
        <is>
          <t>R3</t>
        </is>
      </c>
      <c r="I35" s="10" t="inlineStr">
        <is>
          <t>kitchen.md п.2; ceilings.json CB-1/HC-3</t>
        </is>
      </c>
    </row>
    <row r="36">
      <c r="A36" s="10" t="inlineStr">
        <is>
          <t>СП-02.2</t>
        </is>
      </c>
      <c r="B36" s="10" t="n">
        <v>15</v>
      </c>
      <c r="C36" s="10" t="inlineStr">
        <is>
          <t>Буфет 800×400×2100: низ — шкаф, ниша +900..+1400, верх — стекло, LED</t>
        </is>
      </c>
      <c r="D36" s="10" t="n">
        <v>1</v>
      </c>
      <c r="E36" s="10" t="inlineStr">
        <is>
          <t>шт</t>
        </is>
      </c>
      <c r="F36" s="11" t="n">
        <v>55000</v>
      </c>
      <c r="G36" s="11">
        <f>D36*F36</f>
        <v/>
      </c>
      <c r="H36" s="10" t="inlineStr">
        <is>
          <t>R3</t>
        </is>
      </c>
      <c r="I36" s="10" t="inlineStr">
        <is>
          <t>F24; kitchen.md п.5</t>
        </is>
      </c>
    </row>
    <row r="37">
      <c r="A37" s="10" t="inlineStr">
        <is>
          <t>СП-02.2</t>
        </is>
      </c>
      <c r="B37" s="10" t="n">
        <v>16</v>
      </c>
      <c r="C37" s="10" t="inlineStr">
        <is>
          <t>Столешница кварцевый агломерат 20 мм 3450×640, вырезы мойка/индукция, кромка</t>
        </is>
      </c>
      <c r="D37" s="10" t="n">
        <v>1</v>
      </c>
      <c r="E37" s="10" t="inlineStr">
        <is>
          <t>компл</t>
        </is>
      </c>
      <c r="F37" s="11" t="n">
        <v>62000</v>
      </c>
      <c r="G37" s="11">
        <f>D37*F37</f>
        <v/>
      </c>
      <c r="H37" s="10" t="inlineStr">
        <is>
          <t>R3</t>
        </is>
      </c>
      <c r="I37" s="10" t="inlineStr">
        <is>
          <t>F09; M13</t>
        </is>
      </c>
    </row>
    <row r="38">
      <c r="A38" s="10" t="inlineStr">
        <is>
          <t>СП-02.2</t>
        </is>
      </c>
      <c r="B38" s="10" t="n">
        <v>17</v>
      </c>
      <c r="C38" s="10" t="inlineStr">
        <is>
          <t>Сортировка мусора выдвижная в K-05</t>
        </is>
      </c>
      <c r="D38" s="10" t="n">
        <v>1</v>
      </c>
      <c r="E38" s="10" t="inlineStr">
        <is>
          <t>шт</t>
        </is>
      </c>
      <c r="F38" s="11" t="n">
        <v>9000</v>
      </c>
      <c r="G38" s="11">
        <f>D38*F38</f>
        <v/>
      </c>
      <c r="H38" s="10" t="inlineStr">
        <is>
          <t>R3</t>
        </is>
      </c>
      <c r="I38" s="10" t="inlineStr">
        <is>
          <t>F21</t>
        </is>
      </c>
    </row>
    <row r="39">
      <c r="A39" s="10" t="inlineStr">
        <is>
          <t>СП-02.2</t>
        </is>
      </c>
      <c r="B39" s="10" t="n">
        <v>18</v>
      </c>
      <c r="C39" s="10" t="inlineStr">
        <is>
          <t>Варочная панель индукционная 60 см, 4 зоны, 7,4 кВт (с ограничением мощности)</t>
        </is>
      </c>
      <c r="D39" s="10" t="n">
        <v>1</v>
      </c>
      <c r="E39" s="10" t="inlineStr">
        <is>
          <t>шт</t>
        </is>
      </c>
      <c r="F39" s="11" t="n">
        <v>45000</v>
      </c>
      <c r="G39" s="11">
        <f>D39*F39</f>
        <v/>
      </c>
      <c r="H39" s="10" t="inlineStr">
        <is>
          <t>R3</t>
        </is>
      </c>
      <c r="I39" s="10" t="inlineStr">
        <is>
          <t>F15; C7</t>
        </is>
      </c>
    </row>
    <row r="40">
      <c r="A40" s="10" t="inlineStr">
        <is>
          <t>СП-02.2</t>
        </is>
      </c>
      <c r="B40" s="10" t="n">
        <v>19</v>
      </c>
      <c r="C40" s="10" t="inlineStr">
        <is>
          <t>Духовой шкаф встраиваемый 60 см, 3,5 кВт</t>
        </is>
      </c>
      <c r="D40" s="10" t="n">
        <v>1</v>
      </c>
      <c r="E40" s="10" t="inlineStr">
        <is>
          <t>шт</t>
        </is>
      </c>
      <c r="F40" s="11" t="n">
        <v>48000</v>
      </c>
      <c r="G40" s="11">
        <f>D40*F40</f>
        <v/>
      </c>
      <c r="H40" s="10" t="inlineStr">
        <is>
          <t>R3</t>
        </is>
      </c>
      <c r="I40" s="10" t="inlineStr">
        <is>
          <t>F16; C8</t>
        </is>
      </c>
    </row>
    <row r="41">
      <c r="A41" s="10" t="inlineStr">
        <is>
          <t>СП-02.2</t>
        </is>
      </c>
      <c r="B41" s="10" t="n">
        <v>20</v>
      </c>
      <c r="C41" s="10" t="inlineStr">
        <is>
          <t>ПММ полновстраиваемая 60 см, 14 комплектов</t>
        </is>
      </c>
      <c r="D41" s="10" t="n">
        <v>1</v>
      </c>
      <c r="E41" s="10" t="inlineStr">
        <is>
          <t>шт</t>
        </is>
      </c>
      <c r="F41" s="11" t="n">
        <v>45000</v>
      </c>
      <c r="G41" s="11">
        <f>D41*F41</f>
        <v/>
      </c>
      <c r="H41" s="10" t="inlineStr">
        <is>
          <t>R3</t>
        </is>
      </c>
      <c r="I41" s="10" t="inlineStr">
        <is>
          <t>F06; C9</t>
        </is>
      </c>
    </row>
    <row r="42">
      <c r="A42" s="10" t="inlineStr">
        <is>
          <t>СП-02.2</t>
        </is>
      </c>
      <c r="B42" s="10" t="n">
        <v>21</v>
      </c>
      <c r="C42" s="10" t="inlineStr">
        <is>
          <t>Холодильник встраиваемый ниша 1780–1940</t>
        </is>
      </c>
      <c r="D42" s="10" t="n">
        <v>1</v>
      </c>
      <c r="E42" s="10" t="inlineStr">
        <is>
          <t>шт</t>
        </is>
      </c>
      <c r="F42" s="11" t="n">
        <v>72000</v>
      </c>
      <c r="G42" s="11">
        <f>D42*F42</f>
        <v/>
      </c>
      <c r="H42" s="10" t="inlineStr">
        <is>
          <t>R3</t>
        </is>
      </c>
      <c r="I42" s="10" t="inlineStr">
        <is>
          <t>F18; C6</t>
        </is>
      </c>
    </row>
    <row r="43">
      <c r="A43" s="10" t="inlineStr">
        <is>
          <t>СП-02.2</t>
        </is>
      </c>
      <c r="B43" s="10" t="n">
        <v>22</v>
      </c>
      <c r="C43" s="10" t="inlineStr">
        <is>
          <t>Вытяжка встраиваемая 60 см 250–600 м³/ч, обратный клапан</t>
        </is>
      </c>
      <c r="D43" s="10" t="n">
        <v>1</v>
      </c>
      <c r="E43" s="10" t="inlineStr">
        <is>
          <t>шт</t>
        </is>
      </c>
      <c r="F43" s="11" t="n">
        <v>20000</v>
      </c>
      <c r="G43" s="11">
        <f>D43*F43</f>
        <v/>
      </c>
      <c r="H43" s="10" t="inlineStr">
        <is>
          <t>R3</t>
        </is>
      </c>
      <c r="I43" s="10" t="inlineStr">
        <is>
          <t>F17; hvac.json KH1</t>
        </is>
      </c>
    </row>
    <row r="44">
      <c r="A44" s="10" t="inlineStr">
        <is>
          <t>СП-02.2</t>
        </is>
      </c>
      <c r="B44" s="10" t="n">
        <v>23</v>
      </c>
      <c r="C44" s="10" t="inlineStr">
        <is>
          <t>Колонна: стиральная машина + сушильная машина с тепловым насосом, монтажный комплект</t>
        </is>
      </c>
      <c r="D44" s="10" t="n">
        <v>1</v>
      </c>
      <c r="E44" s="10" t="inlineStr">
        <is>
          <t>компл</t>
        </is>
      </c>
      <c r="F44" s="11" t="n">
        <v>112000</v>
      </c>
      <c r="G44" s="11">
        <f>D44*F44</f>
        <v/>
      </c>
      <c r="H44" s="10" t="inlineStr">
        <is>
          <t>R6</t>
        </is>
      </c>
      <c r="I44" s="10" t="inlineStr">
        <is>
          <t>F80; C10, C11</t>
        </is>
      </c>
    </row>
    <row r="45">
      <c r="A45" s="10" t="inlineStr">
        <is>
          <t>СП-02.2</t>
        </is>
      </c>
      <c r="B45" s="10" t="n">
        <v>24</v>
      </c>
      <c r="C45" s="10" t="inlineStr">
        <is>
          <t>Монтаж кухни (входит в цену фабрики) и подключение встраиваемой техники</t>
        </is>
      </c>
      <c r="D45" s="10" t="n">
        <v>1</v>
      </c>
      <c r="E45" s="10" t="inlineStr">
        <is>
          <t>усл</t>
        </is>
      </c>
      <c r="F45" s="11" t="n">
        <v>15000</v>
      </c>
      <c r="G45" s="11">
        <f>D45*F45</f>
        <v/>
      </c>
      <c r="H45" s="10" t="inlineStr">
        <is>
          <t>R3</t>
        </is>
      </c>
      <c r="I45" s="10" t="inlineStr">
        <is>
          <t>kitchen.md п.6</t>
        </is>
      </c>
    </row>
    <row r="46">
      <c r="A46" s="10" t="inlineStr">
        <is>
          <t>СП-03.4</t>
        </is>
      </c>
      <c r="B46" s="10" t="n">
        <v>25</v>
      </c>
      <c r="C46" s="10" t="inlineStr">
        <is>
          <t>Проектор 4K-класса (4K-enhancement), зум с throw ≈ 1,29–1,41, lens shift, ≤ 28 дБ</t>
        </is>
      </c>
      <c r="D46" s="10" t="n">
        <v>1</v>
      </c>
      <c r="E46" s="10" t="inlineStr">
        <is>
          <t>шт</t>
        </is>
      </c>
      <c r="F46" s="11" t="n">
        <v>130000</v>
      </c>
      <c r="G46" s="11">
        <f>D46*F46</f>
        <v/>
      </c>
      <c r="H46" s="10" t="inlineStr">
        <is>
          <t>R7</t>
        </is>
      </c>
      <c r="I46" s="10" t="inlineStr">
        <is>
          <t>F38; D11; planning.json cinema</t>
        </is>
      </c>
    </row>
    <row r="47">
      <c r="A47" s="10" t="inlineStr">
        <is>
          <t>СП-03.4</t>
        </is>
      </c>
      <c r="B47" s="10" t="n">
        <v>26</v>
      </c>
      <c r="C47" s="10" t="inlineStr">
        <is>
          <t>Кронштейн потолочный проектора (к плите балкона)</t>
        </is>
      </c>
      <c r="D47" s="10" t="n">
        <v>1</v>
      </c>
      <c r="E47" s="10" t="inlineStr">
        <is>
          <t>шт</t>
        </is>
      </c>
      <c r="F47" s="11" t="n">
        <v>5000</v>
      </c>
      <c r="G47" s="11">
        <f>D47*F47</f>
        <v/>
      </c>
      <c r="H47" s="10" t="inlineStr">
        <is>
          <t>R7</t>
        </is>
      </c>
      <c r="I47" s="10" t="inlineStr">
        <is>
          <t>F38</t>
        </is>
      </c>
    </row>
    <row r="48">
      <c r="A48" s="10" t="inlineStr">
        <is>
          <t>СП-03.4</t>
        </is>
      </c>
      <c r="B48" s="10" t="n">
        <v>27</v>
      </c>
      <c r="C48" s="10" t="inlineStr">
        <is>
          <t>Экран моторизованный 80″ 16:9 tab-tension в нишу (полотно 1771×996), 12В-триггер</t>
        </is>
      </c>
      <c r="D48" s="10" t="n">
        <v>1</v>
      </c>
      <c r="E48" s="10" t="inlineStr">
        <is>
          <t>шт</t>
        </is>
      </c>
      <c r="F48" s="11" t="n">
        <v>60000</v>
      </c>
      <c r="G48" s="11">
        <f>D48*F48</f>
        <v/>
      </c>
      <c r="H48" s="10" t="inlineStr">
        <is>
          <t>R3</t>
        </is>
      </c>
      <c r="I48" s="10" t="inlineStr">
        <is>
          <t>F32; CB-3; узел 9</t>
        </is>
      </c>
    </row>
    <row r="49">
      <c r="A49" s="10" t="inlineStr">
        <is>
          <t>СП-03.4</t>
        </is>
      </c>
      <c r="B49" s="10" t="n">
        <v>28</v>
      </c>
      <c r="C49" s="10" t="inlineStr">
        <is>
          <t>Колонки настенные пассивные (пара L/R)</t>
        </is>
      </c>
      <c r="D49" s="10" t="n">
        <v>1</v>
      </c>
      <c r="E49" s="10" t="inlineStr">
        <is>
          <t>пара</t>
        </is>
      </c>
      <c r="F49" s="11" t="n">
        <v>22000</v>
      </c>
      <c r="G49" s="11">
        <f>D49*F49</f>
        <v/>
      </c>
      <c r="H49" s="10" t="inlineStr">
        <is>
          <t>R7</t>
        </is>
      </c>
      <c r="I49" s="10" t="inlineStr">
        <is>
          <t>F39, F40</t>
        </is>
      </c>
    </row>
    <row r="50">
      <c r="A50" s="10" t="inlineStr">
        <is>
          <t>СП-03.4</t>
        </is>
      </c>
      <c r="B50" s="10" t="n">
        <v>29</v>
      </c>
      <c r="C50" s="10" t="inlineStr">
        <is>
          <t>AV-ресивер 5.1 (с 12В-триггером, eARC)</t>
        </is>
      </c>
      <c r="D50" s="10" t="n">
        <v>1</v>
      </c>
      <c r="E50" s="10" t="inlineStr">
        <is>
          <t>шт</t>
        </is>
      </c>
      <c r="F50" s="11" t="n">
        <v>32000</v>
      </c>
      <c r="G50" s="11">
        <f>D50*F50</f>
        <v/>
      </c>
      <c r="H50" s="10" t="inlineStr">
        <is>
          <t>R7</t>
        </is>
      </c>
      <c r="I50" s="10" t="inlineStr">
        <is>
          <t>F35 отсек AV; P-B04a</t>
        </is>
      </c>
    </row>
    <row r="51">
      <c r="A51" s="10" t="inlineStr">
        <is>
          <t>СП-03.4</t>
        </is>
      </c>
      <c r="B51" s="10" t="n">
        <v>30</v>
      </c>
      <c r="C51" s="10" t="inlineStr">
        <is>
          <t>Медиаплеер 4K (Android TV / Apple TV)</t>
        </is>
      </c>
      <c r="D51" s="10" t="n">
        <v>1</v>
      </c>
      <c r="E51" s="10" t="inlineStr">
        <is>
          <t>шт</t>
        </is>
      </c>
      <c r="F51" s="11" t="n">
        <v>15000</v>
      </c>
      <c r="G51" s="11">
        <f>D51*F51</f>
        <v/>
      </c>
      <c r="H51" s="10" t="inlineStr">
        <is>
          <t>R7</t>
        </is>
      </c>
      <c r="I51" s="10" t="inlineStr">
        <is>
          <t>F35; P-B04a</t>
        </is>
      </c>
    </row>
    <row r="52">
      <c r="A52" s="10" t="inlineStr">
        <is>
          <t>СП-03.4</t>
        </is>
      </c>
      <c r="B52" s="10" t="n">
        <v>31</v>
      </c>
      <c r="C52" s="10" t="inlineStr">
        <is>
          <t>Телевизор 65″ 4K + плоский кронштейн</t>
        </is>
      </c>
      <c r="D52" s="10" t="n">
        <v>1</v>
      </c>
      <c r="E52" s="10" t="inlineStr">
        <is>
          <t>компл</t>
        </is>
      </c>
      <c r="F52" s="11" t="n">
        <v>65000</v>
      </c>
      <c r="G52" s="11">
        <f>D52*F52</f>
        <v/>
      </c>
      <c r="H52" s="10" t="inlineStr">
        <is>
          <t>R1</t>
        </is>
      </c>
      <c r="I52" s="10" t="inlineStr">
        <is>
          <t>F48; D12</t>
        </is>
      </c>
    </row>
    <row r="53">
      <c r="C53" s="6" t="inlineStr">
        <is>
          <t>Итого без резерва</t>
        </is>
      </c>
      <c r="G53" s="4">
        <f>SUM(G2:G52)</f>
        <v/>
      </c>
    </row>
    <row r="54">
      <c r="C54" t="inlineStr">
        <is>
          <t>Резерв 10 %</t>
        </is>
      </c>
      <c r="G54" s="4">
        <f>G53*0.1</f>
        <v/>
      </c>
    </row>
    <row r="55">
      <c r="C55" s="6" t="inlineStr">
        <is>
          <t>ИТОГО «Мебель+техника» с резервом</t>
        </is>
      </c>
      <c r="G55" s="4">
        <f>G53+G54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18" customWidth="1" min="3" max="3"/>
    <col width="20" customWidth="1" min="4" max="4"/>
    <col width="20" customWidth="1" min="5" max="5"/>
    <col width="12" customWidth="1" min="6" max="6"/>
    <col width="20" customWidth="1" min="7" max="7"/>
  </cols>
  <sheetData>
    <row r="1">
      <c r="A1" s="1" t="inlineStr">
        <is>
          <t>Сверка с бюджетом брифа (границы бюджетов — questions.md №34)</t>
        </is>
      </c>
    </row>
    <row r="3">
      <c r="A3" s="3" t="inlineStr">
        <is>
          <t>Бюджет</t>
        </is>
      </c>
      <c r="B3" s="3" t="inlineStr">
        <is>
          <t>Лимит брифа, ₽</t>
        </is>
      </c>
      <c r="C3" s="3" t="inlineStr">
        <is>
          <t>Смета без резерва, ₽</t>
        </is>
      </c>
      <c r="D3" s="3" t="inlineStr">
        <is>
          <t>Смета с резервом 10 %, ₽</t>
        </is>
      </c>
      <c r="E3" s="3" t="inlineStr">
        <is>
          <t>Отклонение (с резервом), ₽</t>
        </is>
      </c>
      <c r="F3" s="3" t="inlineStr">
        <is>
          <t>Отклонение, %</t>
        </is>
      </c>
      <c r="G3" s="3" t="inlineStr">
        <is>
          <t>Отклонение без резерва, ₽</t>
        </is>
      </c>
    </row>
    <row r="4">
      <c r="A4" s="2" t="inlineStr">
        <is>
          <t>Ремонт (работы + материалы + сантехника + свет + двери + встроенные шкафы + остекление/утепление балкона)</t>
        </is>
      </c>
      <c r="B4" s="4" t="n">
        <v>5000000</v>
      </c>
      <c r="C4" s="4">
        <f>'Смета'!E19</f>
        <v/>
      </c>
      <c r="D4" s="4">
        <f>'Смета'!E22</f>
        <v/>
      </c>
      <c r="E4" s="4">
        <f>D4-B4</f>
        <v/>
      </c>
      <c r="F4" s="5">
        <f>E4/B4</f>
        <v/>
      </c>
      <c r="G4" s="4">
        <f>C4-B4</f>
        <v/>
      </c>
    </row>
    <row r="5">
      <c r="A5" s="2" t="inlineStr">
        <is>
          <t>Мебель + техника (кухня, бытовая техника, проектор/экран/акустика, ТВ, диваны, кровати, мебель детской)</t>
        </is>
      </c>
      <c r="B5" s="4" t="n">
        <v>1500000</v>
      </c>
      <c r="C5" s="4">
        <f>'Мебель и техника'!G53</f>
        <v/>
      </c>
      <c r="D5" s="4">
        <f>'Мебель и техника'!G55</f>
        <v/>
      </c>
      <c r="E5" s="4">
        <f>D5-B5</f>
        <v/>
      </c>
      <c r="F5" s="5">
        <f>E5/B5</f>
        <v/>
      </c>
      <c r="G5" s="4">
        <f>C5-B5</f>
        <v/>
      </c>
    </row>
    <row r="6">
      <c r="A6" s="6" t="inlineStr">
        <is>
          <t>ВСЕГО</t>
        </is>
      </c>
      <c r="B6" s="7">
        <f>SUM(B4:B5)</f>
        <v/>
      </c>
      <c r="C6" s="7">
        <f>SUM(C4:C5)</f>
        <v/>
      </c>
      <c r="D6" s="7">
        <f>SUM(D4:D5)</f>
        <v/>
      </c>
      <c r="E6" s="7">
        <f>SUM(E4:E5)</f>
        <v/>
      </c>
      <c r="F6" s="5">
        <f>E6/B6</f>
        <v/>
      </c>
      <c r="G6" s="7">
        <f>SUM(G4:G5)</f>
        <v/>
      </c>
    </row>
    <row r="8">
      <c r="A8" s="2" t="inlineStr">
        <is>
          <t>Положительное отклонение — превышение бюджета; меры — 05-estimate/value-engineering.md.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2" t="inlineStr">
        <is>
          <t>Дата поиска: 2026-10-08. Сайты подрядчиков часть прайсов отдают только в выдаче (прямой доступ из среды закрыт) — цифры взяты из сниппетов поисковой выдачи и использованы как калибровка диапазона, не как точная цена.</t>
        </is>
      </c>
    </row>
    <row r="2">
      <c r="A2" s="2" t="inlineStr">
        <is>
          <t>- INFOline / RBC Retail: рост цен на стройматериалы в СПб, 1-е полугодие 2026 (плитка +17,3 %, электрика +15,3 %, напольные +10,5 %, ЛКМ +10,4 %, сухие смеси +4,7 %): https://www.retail.ru/rbc/pressreleases/keramicheskaya-plitka-vnov-bet-rekord-po-rostu-tsen-v-2026-godu-otmechayut-v-infoline/</t>
        </is>
      </c>
    </row>
    <row r="3">
      <c r="A3" s="2" t="inlineStr">
        <is>
          <t>- Прайсы отделочных работ СПб 2026 (покраска 450–975 ₽/м², шпаклёвка 2 сл. 495–1 155 ₽/м², плитка 800–5 500 ₽/м²): remontvspb.ru: https://remontvspb.ru/prajs/</t>
        </is>
      </c>
    </row>
    <row r="4">
      <c r="A4" s="2" t="inlineStr">
        <is>
          <t>- prorabneva.ru — цены на ремонт квартир в СПб 2026: https://www.prorabneva.ru/price</t>
        </is>
      </c>
    </row>
    <row r="5">
      <c r="A5" s="2" t="inlineStr">
        <is>
          <t>- len-rem.ru — расценки на отделочные работы 2026: https://len-rem.ru/rascenki-na-otdelochnye-raboty.html</t>
        </is>
      </c>
    </row>
    <row r="6">
      <c r="A6" s="2" t="inlineStr">
        <is>
          <t>- remont-na5.ru — плиточные (Эконом 1 750 / Стандарт 2 800 ₽/м²) и малярные работы СПб: https://remont-na5.ru/uslugi/ukladka-plitki/</t>
        </is>
      </c>
    </row>
    <row r="7">
      <c r="A7" s="2" t="inlineStr">
        <is>
          <t>- stroikaspb.com — расценки на плиточные работы СПб: https://www.stroikaspb.com/plitochnie-raboti-vspb/</t>
        </is>
      </c>
    </row>
    <row r="8">
      <c r="A8" s="2" t="inlineStr">
        <is>
          <t>- hands.ru — прайс-лист на отделочные работы в СПб 2026: https://hands.ru/saint-petersburg/category/otdelka/price/</t>
        </is>
      </c>
    </row>
    <row r="9">
      <c r="A9" s="2" t="inlineStr">
        <is>
          <t>- Profi.ru — установка трапов в СПб (от 1 000 ₽/шт), услуги сантехников: https://profi.ru/geo-spb/remont/santehnika/price/</t>
        </is>
      </c>
    </row>
    <row r="10">
      <c r="A10" s="2" t="inlineStr">
        <is>
          <t>- Sostav.ru — рейтинг компаний и цены ремонта СПб 2026 (ориентир Москва: работы 18–35 тыс. ₽/м²): https://www.sostav.ru/blogs/286041/75556</t>
        </is>
      </c>
    </row>
    <row r="11">
      <c r="A11" s="2" t="inlineStr">
        <is>
          <t>- Яндекс Карты — Coswick СПб, инженерная доска (≈ 9 000–11 100 ₽ за позицию): https://yandex.com.tr/maps/org/coswick/20770661221/prices/</t>
        </is>
      </c>
    </row>
    <row r="12">
      <c r="A12" s="2" t="inlineStr"/>
    </row>
    <row r="13">
      <c r="A13" s="2" t="inlineStr">
        <is>
          <t>Допущения сметы:</t>
        </is>
      </c>
    </row>
    <row r="14">
      <c r="A14" s="2" t="inlineStr">
        <is>
          <t>- Расценки — бригада среднего уровня с прорабом, СПб, 10.2026, без НДС подрядчика-юрлица; материалы — с доставкой в пределах КАД.</t>
        </is>
      </c>
    </row>
    <row r="15">
      <c r="A15" s="2" t="inlineStr">
        <is>
          <t>- Встроенная мебель, буазери, остекление, стекло душа — цены изделий «под ключ» (изготовление + монтаж) в спецификациях; монтаж остекления — отдельной строкой работ.</t>
        </is>
      </c>
    </row>
    <row r="16">
      <c r="A16" s="2" t="inlineStr">
        <is>
          <t>- Не входит: дизайн-проект, авторский надзор, согласование перепланировки, работы УК по стоякам, входная дверь (существующая), кондиционирование.</t>
        </is>
      </c>
    </row>
    <row r="17">
      <c r="A17" s="2" t="inlineStr">
        <is>
          <t>- Количества — tools/gen_specs.py из слоёв 03-drawings/*.json и 04-specs/finish-quantities.json; запасы — в спецификациях.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2026-10-08T17:04:23Z</dcterms:created>
  <dcterms:modified xmlns:dcterms="http://purl.org/dc/terms/" xmlns:xsi="http://www.w3.org/2001/XMLSchema-instance" xsi:type="dcterms:W3CDTF">2026-10-08T17:04:23Z</dcterms:modified>
</cp:coreProperties>
</file>